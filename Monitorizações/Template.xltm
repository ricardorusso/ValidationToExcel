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2.xml" ContentType="application/vnd.openxmlformats-officedocument.drawing+xml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Ricardo\Documents\JavaWorkplace\ValToExcel\Monitorizações\"/>
    </mc:Choice>
  </mc:AlternateContent>
  <xr:revisionPtr revIDLastSave="0" documentId="13_ncr:1_{A2203420-D9E5-44FE-B7A3-A4CC6F92BFCD}" xr6:coauthVersionLast="43" xr6:coauthVersionMax="43" xr10:uidLastSave="{00000000-0000-0000-0000-000000000000}"/>
  <bookViews>
    <workbookView xWindow="-120" yWindow="-120" windowWidth="20730" windowHeight="11310" tabRatio="828" xr2:uid="{00000000-000D-0000-FFFF-FFFF00000000}"/>
  </bookViews>
  <sheets>
    <sheet name="Overview" sheetId="1" r:id="rId1"/>
    <sheet name="MSG DUMMY" sheetId="13" r:id="rId2"/>
    <sheet name="Timeline" sheetId="9" r:id="rId3"/>
    <sheet name="Legenda" sheetId="7" r:id="rId4"/>
    <sheet name="VAL1" sheetId="3" r:id="rId5"/>
    <sheet name="VAL2" sheetId="4" r:id="rId6"/>
    <sheet name="VAL3" sheetId="5" r:id="rId7"/>
    <sheet name="VAL4" sheetId="15" r:id="rId8"/>
    <sheet name="VAL5" sheetId="10" r:id="rId9"/>
    <sheet name="VAL6" sheetId="11" r:id="rId10"/>
    <sheet name="VAL7" sheetId="12" r:id="rId11"/>
    <sheet name="VAL8" sheetId="14" r:id="rId12"/>
    <sheet name="VAl9" sheetId="17" r:id="rId13"/>
    <sheet name="VAL10" sheetId="16" r:id="rId14"/>
    <sheet name="VAL11" sheetId="18" r:id="rId15"/>
    <sheet name="VAL12" sheetId="19" r:id="rId16"/>
    <sheet name="VAL4_OLD" sheetId="6" r:id="rId17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7" i="3" l="1"/>
  <c r="F17" i="3" s="1"/>
  <c r="G18" i="3"/>
  <c r="F18" i="3" s="1"/>
  <c r="G16" i="3" l="1"/>
  <c r="F16" i="3" s="1"/>
  <c r="D11" i="4" l="1"/>
  <c r="C11" i="4" s="1"/>
  <c r="C11" i="1" l="1"/>
  <c r="C10" i="1"/>
  <c r="C18" i="1" l="1"/>
  <c r="C17" i="1"/>
  <c r="C16" i="1"/>
  <c r="C14" i="1"/>
  <c r="C13" i="1"/>
  <c r="C12" i="1"/>
  <c r="C9" i="1"/>
  <c r="A73" i="9" l="1"/>
  <c r="J5" i="4" l="1"/>
  <c r="J6" i="4"/>
  <c r="I6" i="4" s="1"/>
  <c r="J7" i="4"/>
  <c r="I7" i="4" l="1"/>
  <c r="I5" i="4"/>
  <c r="K1" i="19"/>
  <c r="B18" i="1" s="1"/>
  <c r="A18" i="1"/>
  <c r="F1" i="5" l="1"/>
  <c r="M1" i="10" l="1"/>
  <c r="G15" i="3" l="1"/>
  <c r="F15" i="3" s="1"/>
  <c r="C15" i="1" l="1"/>
  <c r="I1" i="16" l="1"/>
  <c r="I1" i="18" l="1"/>
  <c r="B17" i="1" s="1"/>
  <c r="A17" i="1"/>
  <c r="J11" i="4"/>
  <c r="J12" i="4"/>
  <c r="J9" i="4"/>
  <c r="G14" i="3" l="1"/>
  <c r="F14" i="3" s="1"/>
  <c r="G13" i="3" l="1"/>
  <c r="F13" i="3" s="1"/>
  <c r="G12" i="3" l="1"/>
  <c r="F12" i="3" s="1"/>
  <c r="A46" i="9" l="1"/>
  <c r="A45" i="9"/>
  <c r="A14" i="1" l="1"/>
  <c r="M1" i="14"/>
  <c r="B14" i="1" s="1"/>
  <c r="B16" i="1"/>
  <c r="A16" i="1"/>
  <c r="A15" i="1"/>
  <c r="D5" i="4" l="1"/>
  <c r="J8" i="4" l="1"/>
  <c r="I8" i="4" l="1"/>
  <c r="G4" i="3"/>
  <c r="G8" i="3" l="1"/>
  <c r="G7" i="3"/>
  <c r="G6" i="3"/>
  <c r="G5" i="3"/>
  <c r="I12" i="4"/>
  <c r="J10" i="4"/>
  <c r="I9" i="4"/>
  <c r="I11" i="4"/>
  <c r="G11" i="3"/>
  <c r="G10" i="3"/>
  <c r="G9" i="3"/>
  <c r="I10" i="4" l="1"/>
  <c r="C7" i="1"/>
  <c r="B15" i="1"/>
  <c r="L1" i="15"/>
  <c r="F4" i="3" l="1"/>
  <c r="F7" i="3" l="1"/>
  <c r="F6" i="3"/>
  <c r="F5" i="3"/>
  <c r="A34" i="9" l="1"/>
  <c r="A33" i="9"/>
  <c r="A32" i="9"/>
  <c r="A31" i="9"/>
  <c r="A30" i="9"/>
  <c r="A29" i="9"/>
  <c r="A28" i="9"/>
  <c r="A27" i="9"/>
  <c r="C5" i="4"/>
  <c r="F10" i="3" l="1"/>
  <c r="F9" i="3"/>
  <c r="A24" i="9" l="1"/>
  <c r="F8" i="3" l="1"/>
  <c r="M1" i="12" l="1"/>
  <c r="F11" i="3"/>
  <c r="B10" i="1" l="1"/>
  <c r="A19" i="9" l="1"/>
  <c r="A23" i="9"/>
  <c r="A22" i="9"/>
  <c r="A21" i="9"/>
  <c r="A20" i="9"/>
  <c r="A18" i="9"/>
  <c r="A17" i="9"/>
  <c r="B9" i="1"/>
  <c r="B13" i="1"/>
  <c r="A14" i="9" l="1"/>
  <c r="A13" i="9"/>
  <c r="A13" i="1"/>
  <c r="A12" i="1"/>
  <c r="A11" i="1"/>
  <c r="M1" i="11"/>
  <c r="B12" i="1" s="1"/>
  <c r="B11" i="1"/>
  <c r="A12" i="9" l="1"/>
  <c r="A11" i="9"/>
  <c r="A10" i="9"/>
  <c r="A9" i="9"/>
  <c r="A8" i="9"/>
  <c r="D10" i="4"/>
  <c r="C10" i="4" s="1"/>
  <c r="D6" i="4" l="1"/>
  <c r="D7" i="4"/>
  <c r="C7" i="4" s="1"/>
  <c r="D8" i="4"/>
  <c r="D9" i="4"/>
  <c r="C8" i="4" l="1"/>
  <c r="C6" i="4"/>
  <c r="E1" i="4"/>
  <c r="B8" i="1" s="1"/>
  <c r="A5" i="9" l="1"/>
  <c r="A4" i="9"/>
  <c r="A3" i="9"/>
  <c r="A2" i="9"/>
  <c r="F1" i="3" l="1"/>
  <c r="B7" i="1" s="1"/>
  <c r="A10" i="1"/>
  <c r="A9" i="1"/>
  <c r="A8" i="1"/>
  <c r="A7" i="1"/>
  <c r="C9" i="4"/>
</calcChain>
</file>

<file path=xl/sharedStrings.xml><?xml version="1.0" encoding="utf-8"?>
<sst xmlns="http://schemas.openxmlformats.org/spreadsheetml/2006/main" count="1534" uniqueCount="283">
  <si>
    <t>BO</t>
  </si>
  <si>
    <t>Erro</t>
  </si>
  <si>
    <t>VAL2: Mensagens Por Processar</t>
  </si>
  <si>
    <t>Msgs</t>
  </si>
  <si>
    <t>VAL3: Cambio Titular</t>
  </si>
  <si>
    <t>VAL4: Configurações SWOUT Mal Fechadas</t>
  </si>
  <si>
    <t>Id Caso</t>
  </si>
  <si>
    <t>Data da caracteristica</t>
  </si>
  <si>
    <t>Data da leitura</t>
  </si>
  <si>
    <t>MTR_CONFIG_ID</t>
  </si>
  <si>
    <t>MR_ID</t>
  </si>
  <si>
    <t>Data activacao Swout</t>
  </si>
  <si>
    <t>PODE USAR</t>
  </si>
  <si>
    <t>leitura - CMATRSTA</t>
  </si>
  <si>
    <t>ESTADO DO SA_ML</t>
  </si>
  <si>
    <t>Saldo do SA_ML</t>
  </si>
  <si>
    <t>SP_ID</t>
  </si>
  <si>
    <t>GEO_VAL</t>
  </si>
  <si>
    <t>CSPROC_ID</t>
  </si>
  <si>
    <t>CHAR_VAL</t>
  </si>
  <si>
    <t>Último log</t>
  </si>
  <si>
    <t>Validation</t>
  </si>
  <si>
    <t>OK/NOK</t>
  </si>
  <si>
    <t>OK</t>
  </si>
  <si>
    <t>NOK</t>
  </si>
  <si>
    <t>RESULT</t>
  </si>
  <si>
    <t>Valor</t>
  </si>
  <si>
    <t>Simbolo</t>
  </si>
  <si>
    <t>Result</t>
  </si>
  <si>
    <t>Observações</t>
  </si>
  <si>
    <t>Monitorizações</t>
  </si>
  <si>
    <t>Controlo</t>
  </si>
  <si>
    <t>Casos Tratados - SP</t>
  </si>
  <si>
    <t>Tresholds NotVal</t>
  </si>
  <si>
    <t>Threshold</t>
  </si>
  <si>
    <t>Traduzir Mensagem</t>
  </si>
  <si>
    <t>Default</t>
  </si>
  <si>
    <t>Tresholds Por Processar</t>
  </si>
  <si>
    <t>05/jul</t>
  </si>
  <si>
    <t>Data Última Execução</t>
  </si>
  <si>
    <t>06/jul</t>
  </si>
  <si>
    <t>Timeline</t>
  </si>
  <si>
    <t>Msgs &gt; 10</t>
  </si>
  <si>
    <t>Caso Justificados</t>
  </si>
  <si>
    <t xml:space="preserve"> A Opção Início HCATRPXP600I não é efectiva na Data de início deste CPS.</t>
  </si>
  <si>
    <t>Mensagem</t>
  </si>
  <si>
    <t>Evidência</t>
  </si>
  <si>
    <t>Evidências</t>
  </si>
  <si>
    <t>% Excedido</t>
  </si>
  <si>
    <t>09/jul</t>
  </si>
  <si>
    <t>10/jul</t>
  </si>
  <si>
    <t>11/jul</t>
  </si>
  <si>
    <t>12/jul</t>
  </si>
  <si>
    <t>13/jul</t>
  </si>
  <si>
    <t>16/jul</t>
  </si>
  <si>
    <t>17/jul</t>
  </si>
  <si>
    <t>18/jul</t>
  </si>
  <si>
    <t>19/jul</t>
  </si>
  <si>
    <t>20/jul</t>
  </si>
  <si>
    <t>23/jul</t>
  </si>
  <si>
    <t>24/jul</t>
  </si>
  <si>
    <t>25/jul</t>
  </si>
  <si>
    <t>VAL1: Processo Não terminado com última mensagem a NotValidated</t>
  </si>
  <si>
    <t>Processo</t>
  </si>
  <si>
    <t>Descrição BO</t>
  </si>
  <si>
    <t>País</t>
  </si>
  <si>
    <t>B1</t>
  </si>
  <si>
    <t>CM_POR_E_ACT</t>
  </si>
  <si>
    <t>CM_SPA_G_B70</t>
  </si>
  <si>
    <t>Estado</t>
  </si>
  <si>
    <t>26/jul</t>
  </si>
  <si>
    <t>27/jul</t>
  </si>
  <si>
    <t>ES0026000010939838BL0F</t>
  </si>
  <si>
    <t>Y</t>
  </si>
  <si>
    <t>C2</t>
  </si>
  <si>
    <t>ES0027700215679001RL0F</t>
  </si>
  <si>
    <t>ES0027700538922001XF0F</t>
  </si>
  <si>
    <t>ES0022000006418544SJ1P</t>
  </si>
  <si>
    <t>ES0027700216390001WC0F</t>
  </si>
  <si>
    <t>CS_MARK_PROC</t>
  </si>
  <si>
    <t>Data de remocao</t>
  </si>
  <si>
    <t>30/jul</t>
  </si>
  <si>
    <t>31/jul</t>
  </si>
  <si>
    <t>Diferenca</t>
  </si>
  <si>
    <t>CM_PT_UPLREADS</t>
  </si>
  <si>
    <t>CM_PT_UPLBILLS</t>
  </si>
  <si>
    <t>CM_GLDL_EXTID_RSP</t>
  </si>
  <si>
    <t>CM_POR_G_H1_N6005</t>
  </si>
  <si>
    <t>CM_POR_G_H3_N6190</t>
  </si>
  <si>
    <t>CM_PT_E_ACCMSG</t>
  </si>
  <si>
    <t>START</t>
  </si>
  <si>
    <t>CM_PT_E_ACTSWO</t>
  </si>
  <si>
    <t>VAL5: Configurações SWOUT que deveriam estar fechadas</t>
  </si>
  <si>
    <t>01/ago</t>
  </si>
  <si>
    <t>CM_PT_E_INFO4139</t>
  </si>
  <si>
    <t>CM_PT_E_ACT2500</t>
  </si>
  <si>
    <t>CM_SPA_G_ACT02</t>
  </si>
  <si>
    <t>ES0021000021731346AT</t>
  </si>
  <si>
    <t>VAL7: SAs sem mapas horários atribuidos</t>
  </si>
  <si>
    <t>VAL6: Configurações ou SAs ativos duplicados</t>
  </si>
  <si>
    <t>SATYPE</t>
  </si>
  <si>
    <t>COUNTSASACTIVOORDOUBLECONFIG</t>
  </si>
  <si>
    <t>02/ago</t>
  </si>
  <si>
    <t>03/ago</t>
  </si>
  <si>
    <t>06/ago</t>
  </si>
  <si>
    <t>07/ago</t>
  </si>
  <si>
    <t>08/ago</t>
  </si>
  <si>
    <t>09/ago</t>
  </si>
  <si>
    <t>10/ago</t>
  </si>
  <si>
    <t>13/ago</t>
  </si>
  <si>
    <t>14/ago</t>
  </si>
  <si>
    <t>16/ago</t>
  </si>
  <si>
    <t>17/ago</t>
  </si>
  <si>
    <t>20/ago</t>
  </si>
  <si>
    <t>21/ago</t>
  </si>
  <si>
    <t>22/ago</t>
  </si>
  <si>
    <t>CM_POR_G_B2_N5035</t>
  </si>
  <si>
    <t>23/ago</t>
  </si>
  <si>
    <t>24/ago</t>
  </si>
  <si>
    <t>27/ago</t>
  </si>
  <si>
    <t>Falta el valor para la característica CMMMNIF - Nueva Razón Social con mismo CIF. Por favor validar.</t>
  </si>
  <si>
    <t>28/ago</t>
  </si>
  <si>
    <t>29/ago</t>
  </si>
  <si>
    <t>30/ago</t>
  </si>
  <si>
    <t>31/ago</t>
  </si>
  <si>
    <t>03/set</t>
  </si>
  <si>
    <t>04/set</t>
  </si>
  <si>
    <t>csmsg id</t>
  </si>
  <si>
    <t>bo</t>
  </si>
  <si>
    <t>bo status</t>
  </si>
  <si>
    <t>DUMMY</t>
  </si>
  <si>
    <t>cups</t>
  </si>
  <si>
    <t>PT0002000127961171RF</t>
  </si>
  <si>
    <t>PT1603000003347485HC</t>
  </si>
  <si>
    <t xml:space="preserve">CM_PT_UPLBILLS                </t>
  </si>
  <si>
    <t>ERROR: Element 'R65100040': [facet 'length'] The value has a length of '0'; this differs from the allowed length of '1'.
ERROR: Element 'R65100040': '' is not a valid value of the local atomic type.</t>
  </si>
  <si>
    <t>ERROR: Element 'G10230050': [facet 'maxLength'] The value has a length of '25'; this exceeds the allowed maximum length of '8'.
ERROR: Element 'G10230050': 'PT50000700960001695000836' is not a valid value of the local atomic type.
ERROR: Element 'G10230060': This element is not expected.</t>
  </si>
  <si>
    <t>bo original status</t>
  </si>
  <si>
    <t>VAL8: Processos em estado STOPSW/DATESERROR sem char CMATRSTA no SP e com erros no processo</t>
  </si>
  <si>
    <t>MENSAGENS POSTAS DE LADO DE FORMA A DESBLOQUEAR O MUL</t>
  </si>
  <si>
    <t>CM_SPA_E_INC</t>
  </si>
  <si>
    <t>CM_SPA_E_ACCC2</t>
  </si>
  <si>
    <t>CM_SPA_E_SWINOT</t>
  </si>
  <si>
    <t>10/set</t>
  </si>
  <si>
    <t>BUS_OBJ_CD</t>
  </si>
  <si>
    <t xml:space="preserve"> BO_STATUS_CD, </t>
  </si>
  <si>
    <t>BO_STATUS_DTTM</t>
  </si>
  <si>
    <t>SVC_TYPE_CD</t>
  </si>
  <si>
    <t>COUNTRY</t>
  </si>
  <si>
    <t>ACCT_ID</t>
  </si>
  <si>
    <t>PREM_ID</t>
  </si>
  <si>
    <t>UA_ID</t>
  </si>
  <si>
    <t>SA_ATR_ID</t>
  </si>
  <si>
    <t>SA_ML_ID</t>
  </si>
  <si>
    <t>CSPROC_EF_DTTM</t>
  </si>
  <si>
    <t>VERSION, USER_ID</t>
  </si>
  <si>
    <t>CSPROC_CORR_ID</t>
  </si>
  <si>
    <t>CM_CS_CUPS_CPE</t>
  </si>
  <si>
    <t>11/set</t>
  </si>
  <si>
    <t>12/set</t>
  </si>
  <si>
    <t>13/set</t>
  </si>
  <si>
    <t>KOK</t>
  </si>
  <si>
    <t>CASOS JUSTIFICADOS</t>
  </si>
  <si>
    <t>14/set</t>
  </si>
  <si>
    <t>17/set</t>
  </si>
  <si>
    <t>PS</t>
  </si>
  <si>
    <t>18/set</t>
  </si>
  <si>
    <t xml:space="preserve"> CUPS</t>
  </si>
  <si>
    <t xml:space="preserve"> CONFIG_ID</t>
  </si>
  <si>
    <t xml:space="preserve"> SA_STATUS</t>
  </si>
  <si>
    <t xml:space="preserve"> SA_END_DT</t>
  </si>
  <si>
    <t xml:space="preserve"> SA_EXPIRE_DT</t>
  </si>
  <si>
    <t xml:space="preserve"> SA_RENEWAL_DT</t>
  </si>
  <si>
    <t xml:space="preserve"> SASP_START_MR</t>
  </si>
  <si>
    <t>19/set</t>
  </si>
  <si>
    <t>20/set</t>
  </si>
  <si>
    <t>CM_PT_E_ACCSWO</t>
  </si>
  <si>
    <t>21/set</t>
  </si>
  <si>
    <t>24/set</t>
  </si>
  <si>
    <t>25/set</t>
  </si>
  <si>
    <t>26/set</t>
  </si>
  <si>
    <t>27/set</t>
  </si>
  <si>
    <t>28/set</t>
  </si>
  <si>
    <t>Ok</t>
  </si>
  <si>
    <t>CM_SPA_E_ACCC1</t>
  </si>
  <si>
    <t xml:space="preserve"> </t>
  </si>
  <si>
    <t>La opción de alta HCATRPXP300A no está en vigor en la fecha de alta de este AS.</t>
  </si>
  <si>
    <t>bo_status_cd</t>
  </si>
  <si>
    <t>contProcs</t>
  </si>
  <si>
    <t>VAL10: D041s como ultimo processo e as configs estão fechadas</t>
  </si>
  <si>
    <t>VAL9: D041s por estados tirando o cancelado e rejeitado</t>
  </si>
  <si>
    <t>SASP_START_DTTM</t>
  </si>
  <si>
    <t>SASP_STOP_MR</t>
  </si>
  <si>
    <t>SASP_STOP_DT</t>
  </si>
  <si>
    <t>WRONG_CLOSE_CFG</t>
  </si>
  <si>
    <t>REMOVAL_DT</t>
  </si>
  <si>
    <t>SA_START_DT</t>
  </si>
  <si>
    <t xml:space="preserve"> CMEDATRD_FECHAFIN_CONTRATO_ATR</t>
  </si>
  <si>
    <t>VAL11: Mensagens OUTBOUND não enviadas</t>
  </si>
  <si>
    <t>msg_in_err</t>
  </si>
  <si>
    <t>TO_CHAR(error_dtl)</t>
  </si>
  <si>
    <t>D041 Processos inicial 04/12/2018</t>
  </si>
  <si>
    <t xml:space="preserve">Mensagens </t>
  </si>
  <si>
    <t>Processos</t>
  </si>
  <si>
    <t>CM_SPA_E_ACTR1</t>
  </si>
  <si>
    <t>Column1</t>
  </si>
  <si>
    <t>VAL12: Processos no estado CHECKRS</t>
  </si>
  <si>
    <t>Baja pasiva</t>
  </si>
  <si>
    <t>Aceptación</t>
  </si>
  <si>
    <t>NOk</t>
  </si>
  <si>
    <t>Activación</t>
  </si>
  <si>
    <t>Column2</t>
  </si>
  <si>
    <t>CMCSMSG1 (Estado START e VALIDATED)</t>
  </si>
  <si>
    <t>Aceitação</t>
  </si>
  <si>
    <t>Activação</t>
  </si>
  <si>
    <t>Rechazo</t>
  </si>
  <si>
    <t>2001-01-13 00:00:00.0</t>
  </si>
  <si>
    <t>AR</t>
  </si>
  <si>
    <t>Argentina</t>
  </si>
  <si>
    <t>AU</t>
  </si>
  <si>
    <t>Australia</t>
  </si>
  <si>
    <t>BE</t>
  </si>
  <si>
    <t>Belgium</t>
  </si>
  <si>
    <t>BR</t>
  </si>
  <si>
    <t>Brazil</t>
  </si>
  <si>
    <t>CA</t>
  </si>
  <si>
    <t>Canada</t>
  </si>
  <si>
    <t>CH</t>
  </si>
  <si>
    <t>Switzerland</t>
  </si>
  <si>
    <t>CN</t>
  </si>
  <si>
    <t>China</t>
  </si>
  <si>
    <t>DE</t>
  </si>
  <si>
    <t>Germany</t>
  </si>
  <si>
    <t>DK</t>
  </si>
  <si>
    <t>Denmark</t>
  </si>
  <si>
    <t>EG</t>
  </si>
  <si>
    <t>Egypt</t>
  </si>
  <si>
    <t>FR</t>
  </si>
  <si>
    <t>France</t>
  </si>
  <si>
    <t>IL</t>
  </si>
  <si>
    <t>Israel</t>
  </si>
  <si>
    <t>IN</t>
  </si>
  <si>
    <t>India</t>
  </si>
  <si>
    <t>IT</t>
  </si>
  <si>
    <t>Italy</t>
  </si>
  <si>
    <t>JP</t>
  </si>
  <si>
    <t>Japan</t>
  </si>
  <si>
    <t>KW</t>
  </si>
  <si>
    <t>Kuwait</t>
  </si>
  <si>
    <t>ML</t>
  </si>
  <si>
    <t>Malaysia</t>
  </si>
  <si>
    <t>MX</t>
  </si>
  <si>
    <t>Mexico</t>
  </si>
  <si>
    <t>NG</t>
  </si>
  <si>
    <t>Nigeria</t>
  </si>
  <si>
    <t>NL</t>
  </si>
  <si>
    <t>Netherlands</t>
  </si>
  <si>
    <t>SG</t>
  </si>
  <si>
    <t>Singapore</t>
  </si>
  <si>
    <t>UK</t>
  </si>
  <si>
    <t>United Kingdom</t>
  </si>
  <si>
    <t>US</t>
  </si>
  <si>
    <t>United States of America</t>
  </si>
  <si>
    <t>ZM</t>
  </si>
  <si>
    <t>Zambia</t>
  </si>
  <si>
    <t>ZW</t>
  </si>
  <si>
    <t>Zimbabwe</t>
  </si>
  <si>
    <t>Administration</t>
  </si>
  <si>
    <t>Marketing</t>
  </si>
  <si>
    <t>1297 Via Cola di Rie</t>
  </si>
  <si>
    <t>Steven</t>
  </si>
  <si>
    <t>King</t>
  </si>
  <si>
    <t>SKING</t>
  </si>
  <si>
    <t>515.123.4567</t>
  </si>
  <si>
    <t>2003-06-17 00:00:00.0</t>
  </si>
  <si>
    <t>AD_PRES</t>
  </si>
  <si>
    <t>102</t>
  </si>
  <si>
    <t>3</t>
  </si>
  <si>
    <t>20</t>
  </si>
  <si>
    <t>1000</t>
  </si>
  <si>
    <t>09/04/1900 00:00</t>
  </si>
  <si>
    <t xml:space="preserve">     </t>
  </si>
  <si>
    <t>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</si>
</sst>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;@"/>
    <numFmt numFmtId="165" formatCode="dd\-mm\-yyyy;@"/>
    <numFmt numFmtId="166" formatCode="[$-816]d/mmm;@"/>
    <numFmt numFmtId="167" formatCode="0000000000000"/>
    <numFmt numFmtId="168" formatCode="0000000000"/>
  </numFmts>
  <fonts count="21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3"/>
      <color rgb="FF3F3F3F"/>
      <name val="Calibri"/>
      <family val="2"/>
      <scheme val="minor"/>
    </font>
    <font>
      <b/>
      <sz val="12"/>
      <color rgb="FF3F3F76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rgb="FF242729"/>
      <name val="Consolas"/>
      <family val="3"/>
    </font>
    <font>
      <sz val="11"/>
      <color rgb="FFFF0000"/>
      <name val="Calibri"/>
      <family val="2"/>
      <scheme val="minor"/>
    </font>
    <font>
      <sz val="10"/>
      <color rgb="FF000000"/>
      <name val="Segoe UI"/>
      <family val="2"/>
    </font>
    <font>
      <u/>
      <sz val="11"/>
      <color theme="1"/>
      <name val="Calibri"/>
      <family val="2"/>
      <scheme val="minor"/>
    </font>
    <font>
      <b/>
      <sz val="10"/>
      <color rgb="FF000000"/>
      <name val="Segoe UI"/>
      <family val="2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theme="1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theme="0" tint="-0.14999847407452621"/>
      </patternFill>
    </fill>
  </fills>
  <borders count="4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medium">
        <color indexed="64"/>
      </left>
      <right/>
      <top style="medium">
        <color indexed="64"/>
      </top>
      <bottom style="thick">
        <color theme="4"/>
      </bottom>
      <diagonal/>
    </border>
    <border>
      <left/>
      <right style="medium">
        <color indexed="64"/>
      </right>
      <top style="medium">
        <color indexed="64"/>
      </top>
      <bottom style="thick">
        <color theme="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indexed="64"/>
      </left>
      <right/>
      <top style="thin">
        <color theme="4"/>
      </top>
      <bottom style="medium">
        <color indexed="64"/>
      </bottom>
      <diagonal/>
    </border>
    <border>
      <left style="medium">
        <color indexed="6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4"/>
      </left>
      <right/>
      <top style="thin">
        <color theme="4"/>
      </top>
      <bottom style="thin">
        <color theme="1"/>
      </bottom>
      <diagonal/>
    </border>
    <border>
      <left style="thin">
        <color theme="1"/>
      </left>
      <right style="thin">
        <color theme="4"/>
      </right>
      <top style="thin">
        <color theme="4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thin">
        <color rgb="FF7F7F7F"/>
      </right>
      <top/>
      <bottom/>
      <diagonal/>
    </border>
    <border>
      <left style="medium">
        <color indexed="64"/>
      </left>
      <right/>
      <top/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/>
      <right style="thin">
        <color indexed="64"/>
      </right>
      <top style="thin">
        <color theme="4"/>
      </top>
      <bottom style="thin">
        <color theme="4"/>
      </bottom>
      <diagonal/>
    </border>
  </borders>
  <cellStyleXfs count="6">
    <xf numFmtId="0" fontId="0" fillId="0" borderId="0"/>
    <xf numFmtId="0" fontId="1" fillId="0" borderId="1" applyNumberFormat="0" applyFill="0" applyAlignment="0" applyProtection="0"/>
    <xf numFmtId="0" fontId="8" fillId="3" borderId="16" applyNumberFormat="0" applyAlignment="0" applyProtection="0"/>
    <xf numFmtId="0" fontId="9" fillId="4" borderId="17" applyNumberFormat="0" applyAlignment="0" applyProtection="0"/>
    <xf numFmtId="0" fontId="12" fillId="0" borderId="19" applyNumberFormat="0" applyFill="0" applyAlignment="0" applyProtection="0"/>
    <xf numFmtId="9" fontId="13" fillId="0" borderId="0" applyFont="0" applyFill="0" applyBorder="0" applyAlignment="0" applyProtection="0"/>
  </cellStyleXfs>
  <cellXfs count="150">
    <xf numFmtId="0" fontId="0" fillId="0" borderId="0" xfId="0"/>
    <xf numFmtId="0" fontId="4" fillId="0" borderId="0" xfId="0" applyFont="1"/>
    <xf numFmtId="0" fontId="5" fillId="0" borderId="9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9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2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2" fillId="2" borderId="18" xfId="1" applyFont="1" applyFill="1" applyBorder="1" applyAlignment="1">
      <alignment horizontal="left" wrapText="1"/>
    </xf>
    <xf numFmtId="0" fontId="2" fillId="2" borderId="0" xfId="1" applyFont="1" applyFill="1" applyBorder="1" applyAlignment="1">
      <alignment horizontal="left" wrapText="1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wrapText="1"/>
    </xf>
    <xf numFmtId="0" fontId="3" fillId="0" borderId="0" xfId="0" applyFont="1" applyAlignment="1">
      <alignment horizontal="left" vertical="center"/>
    </xf>
    <xf numFmtId="0" fontId="6" fillId="0" borderId="11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2" borderId="12" xfId="1" applyFont="1" applyFill="1" applyBorder="1"/>
    <xf numFmtId="0" fontId="2" fillId="2" borderId="13" xfId="1" applyFont="1" applyFill="1" applyBorder="1"/>
    <xf numFmtId="0" fontId="10" fillId="4" borderId="17" xfId="3" applyFont="1" applyAlignment="1">
      <alignment horizontal="center" vertical="center"/>
    </xf>
    <xf numFmtId="0" fontId="11" fillId="3" borderId="16" xfId="2" applyFont="1" applyAlignment="1">
      <alignment horizontal="center" vertical="center"/>
    </xf>
    <xf numFmtId="0" fontId="2" fillId="2" borderId="18" xfId="1" applyFont="1" applyFill="1" applyBorder="1"/>
    <xf numFmtId="0" fontId="2" fillId="2" borderId="0" xfId="1" applyFont="1" applyFill="1" applyBorder="1"/>
    <xf numFmtId="0" fontId="0" fillId="0" borderId="11" xfId="0" applyBorder="1" applyAlignment="1">
      <alignment horizontal="center" vertical="center"/>
    </xf>
    <xf numFmtId="0" fontId="3" fillId="0" borderId="12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21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12" fillId="0" borderId="19" xfId="4"/>
    <xf numFmtId="0" fontId="2" fillId="2" borderId="9" xfId="1" applyFont="1" applyFill="1" applyBorder="1" applyAlignment="1">
      <alignment horizontal="left" wrapText="1"/>
    </xf>
    <xf numFmtId="0" fontId="2" fillId="2" borderId="11" xfId="1" applyFont="1" applyFill="1" applyBorder="1" applyAlignment="1">
      <alignment horizontal="left" wrapText="1"/>
    </xf>
    <xf numFmtId="0" fontId="2" fillId="2" borderId="10" xfId="1" applyFont="1" applyFill="1" applyBorder="1" applyAlignment="1">
      <alignment horizontal="left" wrapText="1"/>
    </xf>
    <xf numFmtId="16" fontId="0" fillId="0" borderId="0" xfId="0" applyNumberFormat="1"/>
    <xf numFmtId="0" fontId="0" fillId="0" borderId="13" xfId="0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4" fillId="5" borderId="23" xfId="0" applyFont="1" applyFill="1" applyBorder="1" applyAlignment="1">
      <alignment horizontal="center" vertical="center"/>
    </xf>
    <xf numFmtId="0" fontId="14" fillId="5" borderId="24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9" fontId="5" fillId="0" borderId="0" xfId="5" applyFont="1" applyAlignment="1">
      <alignment horizontal="center" vertical="center"/>
    </xf>
    <xf numFmtId="9" fontId="5" fillId="0" borderId="3" xfId="5" applyFont="1" applyBorder="1" applyAlignment="1">
      <alignment horizontal="center" vertical="center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1" fontId="4" fillId="0" borderId="0" xfId="0" applyNumberFormat="1" applyFont="1"/>
    <xf numFmtId="1" fontId="5" fillId="0" borderId="1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center" vertical="center"/>
    </xf>
    <xf numFmtId="1" fontId="0" fillId="0" borderId="0" xfId="0" applyNumberFormat="1"/>
    <xf numFmtId="1" fontId="5" fillId="0" borderId="11" xfId="0" applyNumberFormat="1" applyFont="1" applyBorder="1" applyAlignment="1">
      <alignment vertical="center"/>
    </xf>
    <xf numFmtId="22" fontId="0" fillId="0" borderId="0" xfId="0" applyNumberFormat="1"/>
    <xf numFmtId="14" fontId="0" fillId="0" borderId="0" xfId="0" applyNumberFormat="1"/>
    <xf numFmtId="164" fontId="5" fillId="0" borderId="0" xfId="0" applyNumberFormat="1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14" fillId="5" borderId="23" xfId="0" applyFont="1" applyFill="1" applyBorder="1" applyAlignment="1">
      <alignment horizontal="center"/>
    </xf>
    <xf numFmtId="16" fontId="14" fillId="5" borderId="24" xfId="0" applyNumberFormat="1" applyFont="1" applyFill="1" applyBorder="1" applyAlignment="1">
      <alignment horizontal="center"/>
    </xf>
    <xf numFmtId="0" fontId="7" fillId="0" borderId="23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7" fillId="0" borderId="3" xfId="0" applyFont="1" applyBorder="1" applyAlignment="1">
      <alignment horizontal="left" vertical="center"/>
    </xf>
    <xf numFmtId="16" fontId="14" fillId="6" borderId="29" xfId="0" applyNumberFormat="1" applyFont="1" applyFill="1" applyBorder="1"/>
    <xf numFmtId="0" fontId="0" fillId="7" borderId="13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30" xfId="0" applyFill="1" applyBorder="1" applyAlignment="1">
      <alignment horizontal="center" vertical="center"/>
    </xf>
    <xf numFmtId="49" fontId="14" fillId="6" borderId="29" xfId="0" applyNumberFormat="1" applyFont="1" applyFill="1" applyBorder="1"/>
    <xf numFmtId="0" fontId="0" fillId="0" borderId="0" xfId="0" applyAlignment="1">
      <alignment wrapText="1"/>
    </xf>
    <xf numFmtId="0" fontId="16" fillId="0" borderId="0" xfId="0" applyFont="1"/>
    <xf numFmtId="164" fontId="0" fillId="0" borderId="0" xfId="0" applyNumberFormat="1"/>
    <xf numFmtId="164" fontId="4" fillId="0" borderId="0" xfId="0" applyNumberFormat="1" applyFont="1"/>
    <xf numFmtId="164" fontId="5" fillId="0" borderId="11" xfId="0" applyNumberFormat="1" applyFont="1" applyBorder="1" applyAlignment="1">
      <alignment vertical="center"/>
    </xf>
    <xf numFmtId="164" fontId="5" fillId="0" borderId="10" xfId="0" applyNumberFormat="1" applyFont="1" applyBorder="1" applyAlignment="1">
      <alignment vertical="center"/>
    </xf>
    <xf numFmtId="0" fontId="2" fillId="2" borderId="31" xfId="1" applyFont="1" applyFill="1" applyBorder="1" applyAlignment="1">
      <alignment wrapText="1"/>
    </xf>
    <xf numFmtId="0" fontId="3" fillId="7" borderId="12" xfId="0" applyFont="1" applyFill="1" applyBorder="1" applyAlignment="1">
      <alignment horizontal="left" vertical="center"/>
    </xf>
    <xf numFmtId="0" fontId="3" fillId="7" borderId="21" xfId="0" applyFont="1" applyFill="1" applyBorder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0" fontId="3" fillId="7" borderId="18" xfId="0" applyFont="1" applyFill="1" applyBorder="1" applyAlignment="1">
      <alignment horizontal="left" vertical="center"/>
    </xf>
    <xf numFmtId="0" fontId="3" fillId="0" borderId="32" xfId="0" applyFont="1" applyBorder="1" applyAlignment="1">
      <alignment horizontal="left" vertical="center"/>
    </xf>
    <xf numFmtId="0" fontId="0" fillId="7" borderId="33" xfId="0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0" fillId="0" borderId="2" xfId="0" applyBorder="1"/>
    <xf numFmtId="0" fontId="17" fillId="0" borderId="2" xfId="0" applyFont="1" applyBorder="1" applyAlignment="1">
      <alignment vertical="center"/>
    </xf>
    <xf numFmtId="0" fontId="0" fillId="0" borderId="22" xfId="0" applyBorder="1"/>
    <xf numFmtId="0" fontId="3" fillId="0" borderId="37" xfId="0" applyFont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3" fillId="0" borderId="37" xfId="0" applyFont="1" applyBorder="1" applyAlignment="1">
      <alignment horizontal="left" vertical="center"/>
    </xf>
    <xf numFmtId="0" fontId="3" fillId="0" borderId="39" xfId="0" applyFont="1" applyBorder="1" applyAlignment="1">
      <alignment horizontal="left" vertical="center"/>
    </xf>
    <xf numFmtId="0" fontId="3" fillId="0" borderId="33" xfId="0" applyFont="1" applyBorder="1" applyAlignment="1">
      <alignment horizontal="center" vertical="center"/>
    </xf>
    <xf numFmtId="166" fontId="0" fillId="0" borderId="0" xfId="0" applyNumberFormat="1"/>
    <xf numFmtId="0" fontId="5" fillId="0" borderId="38" xfId="0" applyFont="1" applyBorder="1" applyAlignment="1">
      <alignment horizontal="center" vertical="center"/>
    </xf>
    <xf numFmtId="0" fontId="3" fillId="0" borderId="0" xfId="0" applyFont="1"/>
    <xf numFmtId="166" fontId="14" fillId="6" borderId="29" xfId="0" applyNumberFormat="1" applyFont="1" applyFill="1" applyBorder="1"/>
    <xf numFmtId="0" fontId="7" fillId="0" borderId="10" xfId="0" applyFont="1" applyBorder="1" applyAlignment="1">
      <alignment horizontal="center" vertical="center"/>
    </xf>
    <xf numFmtId="49" fontId="14" fillId="6" borderId="40" xfId="0" applyNumberFormat="1" applyFont="1" applyFill="1" applyBorder="1"/>
    <xf numFmtId="0" fontId="3" fillId="7" borderId="33" xfId="0" applyFont="1" applyFill="1" applyBorder="1" applyAlignment="1">
      <alignment horizontal="left" vertical="center"/>
    </xf>
    <xf numFmtId="16" fontId="14" fillId="6" borderId="40" xfId="0" applyNumberFormat="1" applyFont="1" applyFill="1" applyBorder="1" applyAlignment="1">
      <alignment horizontal="center" vertical="center"/>
    </xf>
    <xf numFmtId="167" fontId="0" fillId="0" borderId="0" xfId="0" applyNumberFormat="1" applyAlignment="1">
      <alignment horizontal="left"/>
    </xf>
    <xf numFmtId="0" fontId="3" fillId="0" borderId="0" xfId="0" applyFont="1" applyAlignment="1">
      <alignment horizontal="center"/>
    </xf>
    <xf numFmtId="1" fontId="3" fillId="0" borderId="0" xfId="0" applyNumberFormat="1" applyFont="1" applyAlignment="1">
      <alignment horizontal="center"/>
    </xf>
    <xf numFmtId="167" fontId="0" fillId="0" borderId="0" xfId="0" applyNumberFormat="1"/>
    <xf numFmtId="166" fontId="18" fillId="0" borderId="0" xfId="0" applyNumberFormat="1" applyFont="1"/>
    <xf numFmtId="168" fontId="0" fillId="0" borderId="0" xfId="0" applyNumberFormat="1"/>
    <xf numFmtId="168" fontId="17" fillId="0" borderId="0" xfId="0" applyNumberFormat="1" applyFont="1" applyAlignment="1">
      <alignment vertical="center"/>
    </xf>
    <xf numFmtId="168" fontId="0" fillId="0" borderId="2" xfId="0" applyNumberFormat="1" applyBorder="1"/>
    <xf numFmtId="168" fontId="17" fillId="0" borderId="2" xfId="0" applyNumberFormat="1" applyFont="1" applyBorder="1" applyAlignment="1">
      <alignment vertical="center"/>
    </xf>
    <xf numFmtId="168" fontId="3" fillId="0" borderId="2" xfId="0" applyNumberFormat="1" applyFont="1" applyBorder="1"/>
    <xf numFmtId="168" fontId="3" fillId="0" borderId="0" xfId="0" applyNumberFormat="1" applyFont="1"/>
    <xf numFmtId="168" fontId="19" fillId="0" borderId="0" xfId="0" applyNumberFormat="1" applyFont="1" applyAlignment="1">
      <alignment vertical="center"/>
    </xf>
    <xf numFmtId="168" fontId="19" fillId="0" borderId="2" xfId="0" applyNumberFormat="1" applyFont="1" applyBorder="1" applyAlignment="1">
      <alignment vertical="center"/>
    </xf>
    <xf numFmtId="168" fontId="3" fillId="0" borderId="22" xfId="0" applyNumberFormat="1" applyFont="1" applyBorder="1"/>
    <xf numFmtId="168" fontId="20" fillId="0" borderId="2" xfId="0" applyNumberFormat="1" applyFont="1" applyBorder="1"/>
    <xf numFmtId="0" fontId="5" fillId="0" borderId="22" xfId="0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18" fillId="0" borderId="0" xfId="0" applyFont="1"/>
    <xf numFmtId="16" fontId="0" fillId="0" borderId="0" xfId="0" applyNumberFormat="1"/>
    <xf numFmtId="16" fontId="0" fillId="0" borderId="0" xfId="0" applyNumberFormat="1"/>
    <xf numFmtId="16" fontId="0" fillId="0" borderId="0" xfId="0" applyNumberFormat="1"/>
    <xf numFmtId="16" fontId="0" fillId="0" borderId="0" xfId="0" applyNumberFormat="1"/>
    <xf numFmtId="16" fontId="0" fillId="0" borderId="0" xfId="0" applyNumberFormat="1"/>
    <xf numFmtId="16" fontId="0" fillId="0" borderId="0" xfId="0" applyNumberFormat="1"/>
    <xf numFmtId="16" fontId="0" fillId="0" borderId="0" xfId="0" applyNumberFormat="1"/>
    <xf numFmtId="0" fontId="2" fillId="2" borderId="0" xfId="1" applyFont="1" applyFill="1" applyBorder="1" applyAlignment="1">
      <alignment horizontal="left" wrapText="1"/>
    </xf>
    <xf numFmtId="0" fontId="2" fillId="2" borderId="34" xfId="1" applyFont="1" applyFill="1" applyBorder="1" applyAlignment="1">
      <alignment horizontal="center" wrapText="1"/>
    </xf>
    <xf numFmtId="0" fontId="2" fillId="2" borderId="35" xfId="1" applyFont="1" applyFill="1" applyBorder="1" applyAlignment="1">
      <alignment horizontal="center" wrapText="1"/>
    </xf>
    <xf numFmtId="0" fontId="2" fillId="2" borderId="36" xfId="1" applyFont="1" applyFill="1" applyBorder="1" applyAlignment="1">
      <alignment horizontal="center" wrapText="1"/>
    </xf>
    <xf numFmtId="0" fontId="2" fillId="2" borderId="12" xfId="1" applyFont="1" applyFill="1" applyBorder="1" applyAlignment="1">
      <alignment horizontal="left" wrapText="1"/>
    </xf>
    <xf numFmtId="0" fontId="2" fillId="2" borderId="13" xfId="1" applyFont="1" applyFill="1" applyBorder="1" applyAlignment="1">
      <alignment horizontal="left" wrapText="1"/>
    </xf>
    <xf numFmtId="0" fontId="2" fillId="2" borderId="14" xfId="1" applyFont="1" applyFill="1" applyBorder="1" applyAlignment="1">
      <alignment horizontal="left" wrapText="1"/>
    </xf>
    <xf numFmtId="0" fontId="2" fillId="2" borderId="7" xfId="1" applyFont="1" applyFill="1" applyBorder="1" applyAlignment="1">
      <alignment horizontal="left" wrapText="1"/>
    </xf>
    <xf numFmtId="0" fontId="2" fillId="2" borderId="15" xfId="1" applyFont="1" applyFill="1" applyBorder="1" applyAlignment="1">
      <alignment horizontal="left" wrapText="1"/>
    </xf>
    <xf numFmtId="0" fontId="2" fillId="2" borderId="8" xfId="1" applyFont="1" applyFill="1" applyBorder="1" applyAlignment="1">
      <alignment horizontal="left" wrapText="1"/>
    </xf>
    <xf numFmtId="0" fontId="2" fillId="2" borderId="18" xfId="1" applyFont="1" applyFill="1" applyBorder="1" applyAlignment="1">
      <alignment horizontal="left" wrapText="1"/>
    </xf>
  </cellXfs>
  <cellStyles count="6">
    <cellStyle name="Cabeçalho 1" xfId="1" builtinId="16"/>
    <cellStyle name="Cabeçalho 3" xfId="4" builtinId="18"/>
    <cellStyle name="Entrada" xfId="2" builtinId="20"/>
    <cellStyle name="Normal" xfId="0" builtinId="0"/>
    <cellStyle name="Percentagem" xfId="5" builtinId="5"/>
    <cellStyle name="Saída" xfId="3" builtinId="21"/>
  </cellStyles>
  <dxfs count="161"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vertical="center" textRotation="0" indent="0" justifyLastLine="0" shrinkToFit="0" readingOrder="0"/>
      <border diagonalUp="0" diagonalDown="0" outline="0">
        <left/>
        <right/>
        <top/>
        <bottom/>
      </border>
    </dxf>
    <dxf>
      <numFmt numFmtId="27" formatCode="dd/mm/yyyy\ hh:mm"/>
    </dxf>
    <dxf>
      <numFmt numFmtId="167" formatCode="0000000000000"/>
      <alignment horizontal="left" vertical="bottom" textRotation="0" wrapText="0" indent="0" justifyLastLine="0" shrinkToFit="0" readingOrder="0"/>
    </dxf>
    <dxf>
      <numFmt numFmtId="167" formatCode="0000000000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yyyy\-mm\-dd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7" formatCode="dd/mm/yyyy\ 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7" formatCode="dd/mm/yyyy\ 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5" formatCode="dd\-mm\-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yyyy\-mm\-dd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7" formatCode="dd/mm/yyyy\ 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7" formatCode="dd/mm/yyyy\ h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5" formatCode="dd\-mm\-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64" formatCode="yyyy\-mm\-dd;@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64" formatCode="yyyy\-mm\-dd;@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indent="0" justifyLastLine="0" shrinkToFit="0" readingOrder="0"/>
    </dxf>
    <dxf>
      <numFmt numFmtId="168" formatCode="000000000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vertical="center" textRotation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border outline="0">
        <top style="thick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ck">
          <color theme="4"/>
        </top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4"/>
        </right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ck">
          <color theme="4"/>
        </top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rgb="FFCC0000"/>
        </patternFill>
      </fill>
    </dxf>
    <dxf>
      <font>
        <color theme="0"/>
      </font>
      <fill>
        <patternFill>
          <bgColor rgb="FFCC0000"/>
        </patternFill>
      </fill>
    </dxf>
    <dxf>
      <font>
        <color theme="0"/>
      </font>
      <fill>
        <patternFill>
          <bgColor rgb="FFCC0000"/>
        </patternFill>
      </fill>
    </dxf>
    <dxf>
      <font>
        <color theme="0"/>
      </font>
      <fill>
        <patternFill>
          <bgColor rgb="FFCC0000"/>
        </patternFill>
      </fill>
    </dxf>
    <dxf>
      <font>
        <color theme="0"/>
      </font>
      <fill>
        <patternFill>
          <bgColor rgb="FFCC0000"/>
        </patternFill>
      </fill>
    </dxf>
    <dxf>
      <font>
        <color theme="0"/>
      </font>
      <fill>
        <patternFill>
          <bgColor rgb="FFCC0000"/>
        </patternFill>
      </fill>
    </dxf>
    <dxf>
      <font>
        <color theme="0"/>
      </font>
      <fill>
        <patternFill>
          <bgColor rgb="FFCC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C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C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C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C0000"/>
        </patternFill>
      </fill>
    </dxf>
    <dxf>
      <font>
        <color theme="0"/>
      </font>
      <fill>
        <patternFill>
          <bgColor rgb="FFCC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</font>
      <numFmt numFmtId="30" formatCode="@"/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theme="4"/>
        </top>
        <bottom/>
      </border>
    </dxf>
    <dxf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thin">
          <color theme="4"/>
        </top>
        <bottom/>
      </border>
    </dxf>
    <dxf>
      <numFmt numFmtId="1" formatCode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border outline="0">
        <top style="thick">
          <color theme="4"/>
        </top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1266825</xdr:colOff>
          <xdr:row>0</xdr:row>
          <xdr:rowOff>66675</xdr:rowOff>
        </xdr:from>
        <xdr:to>
          <xdr:col>2</xdr:col>
          <xdr:colOff>2352675</xdr:colOff>
          <xdr:row>3</xdr:row>
          <xdr:rowOff>47625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3467100</xdr:colOff>
      <xdr:row>0</xdr:row>
      <xdr:rowOff>133350</xdr:rowOff>
    </xdr:from>
    <xdr:to>
      <xdr:col>2</xdr:col>
      <xdr:colOff>4143375</xdr:colOff>
      <xdr:row>2</xdr:row>
      <xdr:rowOff>85725</xdr:rowOff>
    </xdr:to>
    <xdr:sp macro="[0]!SelectedRangeToImage" textlink="">
      <xdr:nvSpPr>
        <xdr:cNvPr id="2" name="Fluxograma: Decisã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134600" y="133350"/>
          <a:ext cx="676275" cy="333375"/>
        </a:xfrm>
        <a:prstGeom prst="flowChartDecisi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13</xdr:row>
          <xdr:rowOff>66675</xdr:rowOff>
        </xdr:from>
        <xdr:to>
          <xdr:col>2</xdr:col>
          <xdr:colOff>3000375</xdr:colOff>
          <xdr:row>13</xdr:row>
          <xdr:rowOff>600075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14</xdr:row>
          <xdr:rowOff>9525</xdr:rowOff>
        </xdr:from>
        <xdr:to>
          <xdr:col>2</xdr:col>
          <xdr:colOff>3619500</xdr:colOff>
          <xdr:row>14</xdr:row>
          <xdr:rowOff>600075</xdr:rowOff>
        </xdr:to>
        <xdr:sp macro="" textlink="">
          <xdr:nvSpPr>
            <xdr:cNvPr id="2050" name="Object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15</xdr:row>
          <xdr:rowOff>123825</xdr:rowOff>
        </xdr:from>
        <xdr:to>
          <xdr:col>2</xdr:col>
          <xdr:colOff>3876675</xdr:colOff>
          <xdr:row>15</xdr:row>
          <xdr:rowOff>657225</xdr:rowOff>
        </xdr:to>
        <xdr:sp macro="" textlink="">
          <xdr:nvSpPr>
            <xdr:cNvPr id="2051" name="Object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C17" totalsRowShown="0" headerRowDxfId="160" dataDxfId="158" headerRowBorderDxfId="159" tableBorderDxfId="157">
  <autoFilter ref="A6:C17" xr:uid="{00000000-0009-0000-0100-000001000000}"/>
  <tableColumns count="3">
    <tableColumn id="1" xr3:uid="{00000000-0010-0000-0000-000001000000}" name="Validation" dataDxfId="156"/>
    <tableColumn id="2" xr3:uid="{00000000-0010-0000-0000-000002000000}" name="Result" dataDxfId="155">
      <calculatedColumnFormula>VLOOKUP('VAL1'!F1,TblOkNok[[OK/NOK]:[Valor]],2)</calculatedColumnFormula>
    </tableColumn>
    <tableColumn id="3" xr3:uid="{00000000-0010-0000-0000-000003000000}" name="Observações" dataDxfId="154">
      <calculatedColumnFormula>VLOOKUP('VAL1'!G1,Legenda!B2:D3,TblOkNok[[#All],[Valor]])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F1F7E2D-3528-4142-A9B4-87D234959D4C}" name="Table20" displayName="Table20" ref="B2:G4" totalsRowShown="0">
  <autoFilter ref="B2:G4" xr:uid="{8F761AB5-50C3-4824-AE18-4FB107655B7E}"/>
  <tableColumns count="6">
    <tableColumn id="1" xr3:uid="{7B11B4C9-CC91-4F75-8B86-AC9D73315F4F}" name="cups"/>
    <tableColumn id="2" xr3:uid="{3938A6CC-C5AA-4E89-B704-22852D8010F9}" name="csmsg id" dataDxfId="153"/>
    <tableColumn id="3" xr3:uid="{EF95EF20-2EF7-476E-8A9A-54BD1D4153C2}" name="bo"/>
    <tableColumn id="7" xr3:uid="{A71FB1AB-EC4F-47F1-8909-E624309FFED8}" name="bo original status"/>
    <tableColumn id="4" xr3:uid="{A962FAE6-5C12-4E31-8A2A-775A9D424C70}" name="bo status"/>
    <tableColumn id="5" xr3:uid="{33206701-2627-4B9F-B7AF-F33AFD25B7F2}" name="Observações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Table10" displayName="Table10" ref="A1:T5" totalsRowShown="0">
  <autoFilter ref="A1:T5" xr:uid="{00000000-0009-0000-0100-00000A000000}"/>
  <tableColumns count="20">
    <tableColumn id="1" xr3:uid="{00000000-0010-0000-0100-000001000000}" name="Timeline" dataDxfId="152"/>
    <tableColumn id="2" xr3:uid="{00000000-0010-0000-0100-000002000000}" name="05/jul" dataDxfId="151"/>
    <tableColumn id="3" xr3:uid="{00000000-0010-0000-0100-000003000000}" name="06/jul" dataDxfId="150"/>
    <tableColumn id="4" xr3:uid="{00000000-0010-0000-0100-000004000000}" name="09/jul" dataDxfId="149"/>
    <tableColumn id="5" xr3:uid="{00000000-0010-0000-0100-000005000000}" name="10/jul" dataDxfId="148"/>
    <tableColumn id="6" xr3:uid="{00000000-0010-0000-0100-000006000000}" name="11/jul"/>
    <tableColumn id="7" xr3:uid="{00000000-0010-0000-0100-000007000000}" name="12/jul"/>
    <tableColumn id="8" xr3:uid="{00000000-0010-0000-0100-000008000000}" name="13/jul"/>
    <tableColumn id="9" xr3:uid="{00000000-0010-0000-0100-000009000000}" name="16/jul"/>
    <tableColumn id="10" xr3:uid="{00000000-0010-0000-0100-00000A000000}" name="17/jul"/>
    <tableColumn id="11" xr3:uid="{00000000-0010-0000-0100-00000B000000}" name="18/jul"/>
    <tableColumn id="12" xr3:uid="{00000000-0010-0000-0100-00000C000000}" name="19/jul"/>
    <tableColumn id="13" xr3:uid="{00000000-0010-0000-0100-00000D000000}" name="20/jul"/>
    <tableColumn id="14" xr3:uid="{00000000-0010-0000-0100-00000E000000}" name="23/jul"/>
    <tableColumn id="15" xr3:uid="{00000000-0010-0000-0100-00000F000000}" name="24/jul"/>
    <tableColumn id="16" xr3:uid="{00000000-0010-0000-0100-000010000000}" name="25/jul"/>
    <tableColumn id="17" xr3:uid="{00000000-0010-0000-0100-000011000000}" name="26/jul"/>
    <tableColumn id="18" xr3:uid="{0BC8823E-6727-40C6-9527-1B65DD1B6037}" name="27/jul"/>
    <tableColumn id="19" xr3:uid="{CD8B6365-6E29-46A7-B988-3630EBA0B18E}" name="30/jul"/>
    <tableColumn id="20" xr3:uid="{FB758C18-C83F-471A-9812-D8846A392856}" name="31/jul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4076911-0502-4206-A7D9-15BAFE1E795D}" name="Table1017" displayName="Table1017" ref="A7:W14" totalsRowShown="0">
  <autoFilter ref="A7:W14" xr:uid="{23C7A01D-EA12-41B7-9FE2-F51D50CC6F21}"/>
  <tableColumns count="23">
    <tableColumn id="1" xr3:uid="{254C45B3-1A0C-472F-A9DE-C09BEA4F2B2E}" name="Timeline" dataDxfId="147"/>
    <tableColumn id="2" xr3:uid="{09BDE934-6F10-4E5F-BEDA-EED130324202}" name="01/ago" dataDxfId="146"/>
    <tableColumn id="3" xr3:uid="{FFD399A1-B1BE-423E-BF80-0E34DB968698}" name="02/ago" dataDxfId="145"/>
    <tableColumn id="4" xr3:uid="{7350934E-0030-49FB-8214-AC423589F0D4}" name="03/ago" dataDxfId="144"/>
    <tableColumn id="5" xr3:uid="{48D067D9-65DF-4686-9BCE-C4FBF3201B6E}" name="06/ago" dataDxfId="143"/>
    <tableColumn id="6" xr3:uid="{BC9D857F-9CD5-44E3-9F76-CFBBB764FC82}" name="07/ago"/>
    <tableColumn id="7" xr3:uid="{95AB2517-627B-40D8-89EA-4F02A04AF640}" name="08/ago"/>
    <tableColumn id="8" xr3:uid="{F06EAE77-F655-4496-9022-86E1BE98A2B2}" name="09/ago"/>
    <tableColumn id="9" xr3:uid="{F405E9C0-C2C0-46A6-90F3-7AB1C6C9F781}" name="10/ago"/>
    <tableColumn id="10" xr3:uid="{1ADC0482-6287-4A27-B612-008913E81BDD}" name="13/ago"/>
    <tableColumn id="11" xr3:uid="{B38FA238-C19F-4E91-B414-FCC59C7F03B1}" name="14/ago"/>
    <tableColumn id="12" xr3:uid="{70ECFBCB-CE37-4D58-B8E2-EB7D7503BB43}" name="16/ago"/>
    <tableColumn id="13" xr3:uid="{BEC321E8-AE1D-40C8-A6E8-635344B531ED}" name="17/ago"/>
    <tableColumn id="14" xr3:uid="{7758E70F-379F-4F8F-B283-8A791E6E45A3}" name="20/ago"/>
    <tableColumn id="15" xr3:uid="{D8504151-422F-4F7E-802E-E379737E5181}" name="21/ago"/>
    <tableColumn id="16" xr3:uid="{1FC55BFC-8A81-446F-A543-C7535ED04872}" name="22/ago"/>
    <tableColumn id="17" xr3:uid="{D8E26CDB-D8DA-47A8-A8D6-2FC79A0550B8}" name="23/ago"/>
    <tableColumn id="18" xr3:uid="{62CE14EE-AEC2-4D7B-9816-906A3CCDA8A9}" name="24/ago"/>
    <tableColumn id="19" xr3:uid="{F82911AC-3B67-4495-8FCA-7043ABF11377}" name="27/ago"/>
    <tableColumn id="20" xr3:uid="{1855900F-CFAD-412A-8D84-10C9755ED3F7}" name="28/ago"/>
    <tableColumn id="21" xr3:uid="{27C2B073-C9C4-42BC-95FB-8086A7383772}" name="29/ago"/>
    <tableColumn id="22" xr3:uid="{DC4CC520-D17A-470A-962C-094AB88AB509}" name="30/ago"/>
    <tableColumn id="23" xr3:uid="{AC464A57-71E7-4106-917F-6A66EBA43493}" name="31/ago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3900CB2-7C26-46CD-985F-C1CCFA71740C}" name="Table19" displayName="Table19" ref="A16:R24" totalsRowShown="0">
  <autoFilter ref="A16:R24" xr:uid="{DC161AC6-A961-4BFB-A9A3-B1340D3A2076}"/>
  <tableColumns count="18">
    <tableColumn id="1" xr3:uid="{96375448-C28F-435A-B850-474448E5230C}" name="Timeline" dataDxfId="142"/>
    <tableColumn id="2" xr3:uid="{A7C57471-D8AD-45A5-B6F0-D8F8052F8ACA}" name="03/set" dataDxfId="141"/>
    <tableColumn id="3" xr3:uid="{80225D7E-F715-4ED8-9426-6AE4DF89932D}" name="04/set"/>
    <tableColumn id="4" xr3:uid="{0A515398-51E5-4B72-AE76-597F8FFE4E14}" name="10/set"/>
    <tableColumn id="5" xr3:uid="{3D6FCCB3-870D-4FF4-B67D-0B4838A9677C}" name="11/set"/>
    <tableColumn id="6" xr3:uid="{E6596F04-0FB7-4D72-8197-AEA8BD163804}" name="12/set"/>
    <tableColumn id="7" xr3:uid="{8E4E23EE-C35E-4CA2-89FC-755091BF5763}" name="13/set"/>
    <tableColumn id="8" xr3:uid="{DFB0B357-5AC8-4544-853F-280EF36C6AAB}" name="14/set"/>
    <tableColumn id="9" xr3:uid="{0B636779-7C93-4C72-8F27-E8D247B4085A}" name="17/set"/>
    <tableColumn id="10" xr3:uid="{7BD476C3-2231-430B-8FCA-E0F7920F16B8}" name="18/set"/>
    <tableColumn id="11" xr3:uid="{49794411-3DC6-4082-8B3D-720764CD7F61}" name="19/set"/>
    <tableColumn id="12" xr3:uid="{C665E76C-8157-4F68-B163-7D1D45E682B0}" name="20/set"/>
    <tableColumn id="13" xr3:uid="{F1A3F729-1726-4A82-B5C2-0F9E48902A6C}" name="21/set"/>
    <tableColumn id="14" xr3:uid="{028117DB-0F1B-460A-9908-EE3AEBF81C87}" name="24/set"/>
    <tableColumn id="15" xr3:uid="{458C44F2-3388-4D01-903A-E16608CE366E}" name="25/set"/>
    <tableColumn id="16" xr3:uid="{18A0C8EE-2F17-4BA5-BBB3-3B1AE298394E}" name="26/set"/>
    <tableColumn id="17" xr3:uid="{5FD4844B-C8D1-45EA-B395-FC4A82D4FFE5}" name="27/set"/>
    <tableColumn id="18" xr3:uid="{F4103870-DB35-4B14-B5B6-6A3CA8A01EA8}" name="28/set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blOkNok" displayName="TblOkNok" ref="A2:C4" totalsRowShown="0">
  <autoFilter ref="A2:C4" xr:uid="{00000000-0009-0000-0100-000008000000}"/>
  <tableColumns count="3">
    <tableColumn id="3" xr3:uid="{00000000-0010-0000-0200-000003000000}" name="Simbolo"/>
    <tableColumn id="1" xr3:uid="{00000000-0010-0000-0200-000001000000}" name="OK/NOK"/>
    <tableColumn id="2" xr3:uid="{00000000-0010-0000-0200-000002000000}" name="Valor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hresNoVal" displayName="ThresNoVal" ref="E2:F19" totalsRowShown="0">
  <autoFilter ref="E2:F19" xr:uid="{00000000-0009-0000-0100-000004000000}"/>
  <tableColumns count="2">
    <tableColumn id="1" xr3:uid="{00000000-0010-0000-0300-000001000000}" name="BO"/>
    <tableColumn id="2" xr3:uid="{00000000-0010-0000-0300-000002000000}" name="Threshold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ThresPorProc" displayName="ThresPorProc" ref="I2:J14" totalsRowShown="0">
  <autoFilter ref="I2:J14" xr:uid="{00000000-0009-0000-0100-000009000000}"/>
  <tableColumns count="2">
    <tableColumn id="1" xr3:uid="{00000000-0010-0000-0400-000001000000}" name="BO"/>
    <tableColumn id="2" xr3:uid="{00000000-0010-0000-0400-000002000000}" name="Threshold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TblVal1" displayName="TblVal1" ref="A3:G18" totalsRowShown="0" headerRowDxfId="121" headerRowBorderDxfId="120">
  <autoFilter ref="A3:G18" xr:uid="{00000000-0009-0000-0100-000002000000}"/>
  <tableColumns count="7">
    <tableColumn id="1" xr3:uid="{00000000-0010-0000-0500-000001000000}" name="Msgs" dataDxfId="119"/>
    <tableColumn id="7" xr3:uid="{00000000-0010-0000-0500-000007000000}" name="País" dataDxfId="118"/>
    <tableColumn id="6" xr3:uid="{00000000-0010-0000-0500-000006000000}" name="Processo" dataDxfId="117"/>
    <tableColumn id="2" xr3:uid="{00000000-0010-0000-0500-000002000000}" name="BO" dataDxfId="116"/>
    <tableColumn id="4" xr3:uid="{00000000-0010-0000-0500-000004000000}" name="Descrição BO" dataDxfId="115"/>
    <tableColumn id="5" xr3:uid="{00000000-0010-0000-0500-000005000000}" name="102" dataDxfId="114">
      <calculatedColumnFormula>IF(TblVal1[[#This Row],[2001-01-13 00:00:00.0]]="NOK",IF(ISERROR(VLOOKUP(TblVal1[[#This Row],[BO]],ThresNoVal[],2,FALSE)),IF(TblVal1[[#This Row],[Msgs]]&gt;VLOOKUP("Default",ThresNoVal[],2,FALSE), (VLOOKUP("Default",ThresNoVal[],2,FALSE)/TblVal1[[#This Row],[Msgs]]), 0),(VLOOKUP(TblVal1[[#This Row],[BO]],ThresNoVal[],2,FALSE)/TblVal1[[#This Row],[Msgs]])),0)</calculatedColumnFormula>
    </tableColumn>
    <tableColumn id="3" xr3:uid="{00000000-0010-0000-0500-000003000000}" name="2001-01-13 00:00:00.0" dataDxfId="113">
      <calculatedColumnFormula>IF(ISERROR(VLOOKUP(TblVal1[[#This Row],[BO]],ThresNoVal[],2,FALSE)),IF(TblVal1[[#This Row],[Msgs]]&gt;VLOOKUP("Default",ThresNoVal[],2,FALSE), "NOK", "OK"),IF(TblVal1[[#This Row],[Msgs]]&gt;VLOOKUP(TblVal1[[#This Row],[BO]],ThresNoVal[],2,FALSE), "NOK", "OK"))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Table12" displayName="Table12" ref="J3:T10" totalsRowShown="0" headerRowDxfId="112">
  <autoFilter ref="J3:T10" xr:uid="{00000000-0009-0000-0100-00000C000000}"/>
  <tableColumns count="11">
    <tableColumn id="1" xr3:uid="{00000000-0010-0000-0600-000001000000}" name="Msgs &gt; 10" dataDxfId="111"/>
    <tableColumn id="2" xr3:uid="{00000000-0010-0000-0600-000002000000}" name="06/jul" dataDxfId="110"/>
    <tableColumn id="3" xr3:uid="{00000000-0010-0000-0600-000003000000}" name="09/jul"/>
    <tableColumn id="4" xr3:uid="{00000000-0010-0000-0600-000004000000}" name="10/jul"/>
    <tableColumn id="5" xr3:uid="{00000000-0010-0000-0600-000005000000}" name="11/jul"/>
    <tableColumn id="6" xr3:uid="{00000000-0010-0000-0600-000006000000}" name="12/jul"/>
    <tableColumn id="7" xr3:uid="{00000000-0010-0000-0600-000007000000}" name="13/jul"/>
    <tableColumn id="8" xr3:uid="{00000000-0010-0000-0600-000008000000}" name="20/jul"/>
    <tableColumn id="9" xr3:uid="{00000000-0010-0000-0600-000009000000}" name="23/jul"/>
    <tableColumn id="10" xr3:uid="{00000000-0010-0000-0600-00000A000000}" name="24/jul"/>
    <tableColumn id="11" xr3:uid="{00000000-0010-0000-0600-00000B000000}" name="26/jul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TblVal2" displayName="TblVal2" ref="A4:D11" totalsRowShown="0" headerRowDxfId="98" dataDxfId="96" headerRowBorderDxfId="97" tableBorderDxfId="95">
  <autoFilter ref="A4:D11" xr:uid="{00000000-0009-0000-0100-000003000000}"/>
  <tableColumns count="4">
    <tableColumn id="1" xr3:uid="{00000000-0010-0000-0700-000001000000}" name="Column1" dataDxfId="94"/>
    <tableColumn id="3" xr3:uid="{00000000-0010-0000-0700-000003000000}" name="Column2" dataDxfId="93"/>
    <tableColumn id="4" xr3:uid="{00000000-0010-0000-0700-000004000000}" name="% Excedido" dataDxfId="92">
      <calculatedColumnFormula>IF(TblVal2[[#This Row],[Controlo]]="NOK",IF(ISERROR(VLOOKUP(TblVal2[[#This Row],[Column2]],ThresPorProc[],2,FALSE)),IF(TblVal2[[#This Row],[Column1]]&gt;VLOOKUP("Default",ThresPorProc[],2,FALSE), (VLOOKUP("Default",ThresPorProc[],2,FALSE)/TblVal2[[#This Row],[Column1]]), 0),(VLOOKUP(TblVal2[[#This Row],[Column2]],ThresPorProc[],2,FALSE)/TblVal2[[#This Row],[Column1]])),0)</calculatedColumnFormula>
    </tableColumn>
    <tableColumn id="2" xr3:uid="{00000000-0010-0000-0700-000002000000}" name="Controlo" dataDxfId="91">
      <calculatedColumnFormula>IF(ISERROR(VLOOKUP(TblVal2[[#This Row],[Column2]],ThresPorProc[],2,FALSE)),IF(TblVal2[[#This Row],[Column1]]&gt;VLOOKUP("Default",ThresPorProc[],2,FALSE), "NOK", "OK"),IF(TblVal2[[#This Row],[Column1]]&gt;VLOOKUP(TblVal2[[#This Row],[Column2]],ThresPorProc[],2,FALSE), "NOK", "OK"))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e13" displayName="Table13" ref="M4:W10" totalsRowShown="0" headerRowDxfId="90">
  <autoFilter ref="M4:W10" xr:uid="{00000000-0009-0000-0100-00000D000000}"/>
  <tableColumns count="11">
    <tableColumn id="1" xr3:uid="{00000000-0010-0000-0800-000001000000}" name="3" dataDxfId="89"/>
    <tableColumn id="2" xr3:uid="{00000000-0010-0000-0800-000002000000}" name="06/jul" dataDxfId="88"/>
    <tableColumn id="3" xr3:uid="{00000000-0010-0000-0800-000003000000}" name="10/jul"/>
    <tableColumn id="4" xr3:uid="{00000000-0010-0000-0800-000004000000}" name="11/jul"/>
    <tableColumn id="5" xr3:uid="{00000000-0010-0000-0800-000005000000}" name="12/jul"/>
    <tableColumn id="6" xr3:uid="{00000000-0010-0000-0800-000006000000}" name="13/jul"/>
    <tableColumn id="7" xr3:uid="{00000000-0010-0000-0800-000007000000}" name="17/jul"/>
    <tableColumn id="8" xr3:uid="{00000000-0010-0000-0800-000008000000}" name="18/jul"/>
    <tableColumn id="9" xr3:uid="{00000000-0010-0000-0800-000009000000}" name="19/jul"/>
    <tableColumn id="10" xr3:uid="{00000000-0010-0000-0800-00000A000000}" name="24/jul"/>
    <tableColumn id="11" xr3:uid="{00000000-0010-0000-0800-00000B000000}" name="25/jul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9000000}" name="TblVal215" displayName="TblVal215" ref="F4:J12" totalsRowShown="0" headerRowDxfId="87" dataDxfId="85" headerRowBorderDxfId="86" tableBorderDxfId="84">
  <autoFilter ref="F4:J12" xr:uid="{00000000-0009-0000-0100-00000E000000}"/>
  <tableColumns count="5">
    <tableColumn id="1" xr3:uid="{00000000-0010-0000-0900-000001000000}" name="20" dataDxfId="83"/>
    <tableColumn id="3" xr3:uid="{00000000-0010-0000-0900-000003000000}" name="Marketing" dataDxfId="82"/>
    <tableColumn id="5" xr3:uid="{00000000-0010-0000-0900-000005000000}" name="Estado" dataDxfId="81"/>
    <tableColumn id="4" xr3:uid="{00000000-0010-0000-0900-000004000000}" name="% Excedido" dataDxfId="80">
      <calculatedColumnFormula>IF(TblVal215[[#This Row],[Controlo]]="NOK",IF(ISERROR(VLOOKUP(TblVal215[[#This Row],[Marketing]],ThresPorProc[],2,FALSE)),IF(TblVal215[[#This Row],[20]]&gt;VLOOKUP("Default",ThresPorProc[],2,FALSE), (VLOOKUP("Default",ThresPorProc[],2,FALSE)/TblVal215[[#This Row],[20]]), 0),(VLOOKUP(TblVal215[[#This Row],[Marketing]],ThresPorProc[],2,FALSE)/TblVal215[[#This Row],[20]])),0)</calculatedColumnFormula>
    </tableColumn>
    <tableColumn id="2" xr3:uid="{00000000-0010-0000-0900-000002000000}" name="Controlo" dataDxfId="79">
      <calculatedColumnFormula>IF(ISERROR(VLOOKUP(TblVal215[[#This Row],[Marketing]],ThresPorProc[],2,FALSE)),IF(TblVal215[[#This Row],[20]]&gt;VLOOKUP("Default",ThresPorProc[],2,FALSE), "NOK", "OK"),IF(TblVal215[[#This Row],[20]]&gt;VLOOKUP(TblVal215[[#This Row],[Marketing]],ThresPorProc[],2,FALSE), "NOK", "OK"))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TblVal3" displayName="TblVal3" ref="A3:D4" totalsRowShown="0" headerRowDxfId="78" dataDxfId="76" headerRowBorderDxfId="77" tableBorderDxfId="75">
  <autoFilter ref="A3:D4" xr:uid="{00000000-0009-0000-0100-000006000000}"/>
  <tableColumns count="4">
    <tableColumn id="1" xr3:uid="{00000000-0010-0000-0A00-000001000000}" name="Id Caso" dataDxfId="74"/>
    <tableColumn id="3" xr3:uid="{00000000-0010-0000-0A00-000003000000}" name="Erro" dataDxfId="73"/>
    <tableColumn id="4" xr3:uid="{00000000-0010-0000-0A00-000004000000}" name="Último log" dataDxfId="72"/>
    <tableColumn id="2" xr3:uid="{00000000-0010-0000-0A00-000002000000}" name="Controlo" dataDxfId="71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B000000}" name="Table11" displayName="Table11" ref="A13:C19" totalsRowShown="0">
  <autoFilter ref="A13:C19" xr:uid="{00000000-0009-0000-0100-00000B000000}"/>
  <tableColumns count="3">
    <tableColumn id="1" xr3:uid="{00000000-0010-0000-0B00-000001000000}" name="Caso Justificados"/>
    <tableColumn id="2" xr3:uid="{00000000-0010-0000-0B00-000002000000}" name="Mensagem"/>
    <tableColumn id="3" xr3:uid="{00000000-0010-0000-0B00-000003000000}" name="Evidência"/>
  </tableColumns>
  <tableStyleInfo name="TableStyleLight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C000000}" name="TblVal4" displayName="TblVal4" ref="A3:Q4" totalsRowShown="0" headerRowDxfId="70" dataDxfId="68" headerRowBorderDxfId="69">
  <autoFilter ref="A3:Q4" xr:uid="{00000000-0009-0000-0100-000005000000}"/>
  <sortState ref="A4:Q16">
    <sortCondition ref="A3:A11"/>
  </sortState>
  <tableColumns count="17">
    <tableColumn id="1" xr3:uid="{00000000-0010-0000-0C00-000001000000}" name="PS" dataDxfId="67"/>
    <tableColumn id="2" xr3:uid="{00000000-0010-0000-0C00-000002000000}" name=" CUPS" dataDxfId="66"/>
    <tableColumn id="4" xr3:uid="{00000000-0010-0000-0C00-000004000000}" name=" CONFIG_ID" dataDxfId="65"/>
    <tableColumn id="5" xr3:uid="{00000000-0010-0000-0C00-000005000000}" name=" SA_STATUS" dataDxfId="64"/>
    <tableColumn id="6" xr3:uid="{00000000-0010-0000-0C00-000006000000}" name="WRONG_CLOSE_CFG" dataDxfId="63"/>
    <tableColumn id="7" xr3:uid="{00000000-0010-0000-0C00-000007000000}" name="1000" dataDxfId="62"/>
    <tableColumn id="8" xr3:uid="{00000000-0010-0000-0C00-000008000000}" name="1297 Via Cola di Rie" dataDxfId="61"/>
    <tableColumn id="9" xr3:uid="{00000000-0010-0000-0C00-000009000000}" name="REMOVAL_DT" dataDxfId="60"/>
    <tableColumn id="10" xr3:uid="{00000000-0010-0000-0C00-00000A000000}" name="SA_START_DT" dataDxfId="59"/>
    <tableColumn id="11" xr3:uid="{00000000-0010-0000-0C00-00000B000000}" name=" SA_END_DT" dataDxfId="58"/>
    <tableColumn id="12" xr3:uid="{2B01302C-6BCA-4621-B144-0AA10E08A0E2}" name=" CMEDATRD_FECHAFIN_CONTRATO_ATR" dataDxfId="57"/>
    <tableColumn id="13" xr3:uid="{D4E0ED4E-79AC-43C2-9FEA-0C5A44431EF4}" name=" SA_EXPIRE_DT" dataDxfId="56"/>
    <tableColumn id="14" xr3:uid="{1377E31A-D49C-4A1B-ACCE-3350F966890F}" name=" SA_RENEWAL_DT" dataDxfId="55"/>
    <tableColumn id="15" xr3:uid="{C8399DC9-FADE-458B-AE7E-BABCBB52CD5D}" name=" SASP_START_MR" dataDxfId="54"/>
    <tableColumn id="16" xr3:uid="{B00C4197-D812-4896-A4B1-9A70673AFF13}" name="SASP_START_DTTM" dataDxfId="53"/>
    <tableColumn id="17" xr3:uid="{56D459EA-7A8B-410F-A3BE-DB69D3869D61}" name="SASP_STOP_MR" dataDxfId="52"/>
    <tableColumn id="3" xr3:uid="{10504011-051C-45ED-8AD1-382C75F839EB}" name="SASP_STOP_DT" dataDxfId="51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C86CBBD-FE27-4CAB-BFD9-165415AF4B1C}" name="Table15" displayName="Table15" ref="A3:L4" totalsRowShown="0" dataDxfId="50">
  <autoFilter ref="A3:L4" xr:uid="{4B2835E9-F319-4901-8B4E-E5CA2F638198}"/>
  <tableColumns count="12">
    <tableColumn id="1" xr3:uid="{63177041-DC82-4160-95F1-E7074EDAE2FF}" name="SP_ID"/>
    <tableColumn id="2" xr3:uid="{962D8349-2EC4-4AA8-A120-8DE77E57309A}" name="GEO_VAL" dataDxfId="49"/>
    <tableColumn id="3" xr3:uid="{E32C706C-88D9-4344-AF85-87BD2E061B85}" name="CSPROC_ID" dataDxfId="48"/>
    <tableColumn id="4" xr3:uid="{24DBAFF9-8351-4119-B8B4-3FF6B139E54C}" name="CHAR_VAL" dataDxfId="47"/>
    <tableColumn id="5" xr3:uid="{149BEF54-2D25-458C-B4DC-6EFC5F6056A4}" name="Data da caracteristica" dataDxfId="46"/>
    <tableColumn id="6" xr3:uid="{9695BB50-742D-4D25-AC88-9CC997FC3F8B}" name="09/04/1900 00:00" dataDxfId="45"/>
    <tableColumn id="7" xr3:uid="{F23442DB-8E25-46EC-9552-D6DD648DEE41}" name="Steven" dataDxfId="44"/>
    <tableColumn id="8" xr3:uid="{E58C9F99-F71D-4D30-ADDE-409DCB14C253}" name="King" dataDxfId="43"/>
    <tableColumn id="9" xr3:uid="{5312CFD0-12CA-4111-9667-23C9CADC0872}" name="SKING" dataDxfId="42"/>
    <tableColumn id="10" xr3:uid="{2AA04F97-904F-4DB5-B394-9C2E00CD7653}" name="515.123.4567" dataDxfId="41"/>
    <tableColumn id="11" xr3:uid="{5E45498E-E351-4CE5-B941-77061B7C6B47}" name="2003-06-17 00:00:00.0" dataDxfId="40"/>
    <tableColumn id="12" xr3:uid="{D47DB753-E21E-4DD4-90C4-D9C22B582B73}" name="AD_PRES" dataDxfId="39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E6B49DF-962C-4BFF-8404-A89CD116450D}" name="Table1518" displayName="Table1518" ref="A3:D4" totalsRowShown="0" dataDxfId="38">
  <autoFilter ref="A3:D4" xr:uid="{B87A80F8-B03D-4977-9547-EFEBC3B4A593}"/>
  <tableColumns count="4">
    <tableColumn id="1" xr3:uid="{141019ED-2B59-4E5D-9969-A79C01B7234C}" name="SP_ID" dataDxfId="37"/>
    <tableColumn id="2" xr3:uid="{3C8BCE23-130C-4CE7-9D5F-870F3D79C50C}" name="MTR_CONFIG_ID" dataDxfId="36"/>
    <tableColumn id="3" xr3:uid="{0E201413-E3DF-48D6-B47C-888218D2EB93}" name="SATYPE" dataDxfId="35"/>
    <tableColumn id="4" xr3:uid="{DAC71101-FFFF-4B5B-A39F-B8F9CD64CD9F}" name="COUNTSASACTIVOORDOUBLECONFIG" dataDxfId="34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DA306E6-E8B6-47E6-9C0A-E0ADA0EDE84A}" name="Table151819" displayName="Table151819" ref="A3:L4" insertRow="1" totalsRowShown="0" dataDxfId="33">
  <autoFilter ref="A3:L4" xr:uid="{AE709FAA-EDCA-4971-9D9B-B8E5EB4E448D}"/>
  <tableColumns count="12">
    <tableColumn id="1" xr3:uid="{07DCF3D4-A283-4F5D-9504-C7EFD2884590}" name="SP_ID" dataDxfId="32"/>
    <tableColumn id="2" xr3:uid="{DF99A043-2ADE-4A1C-AEB9-69D2C4BF7655}" name="GEO_VAL" dataDxfId="31"/>
    <tableColumn id="3" xr3:uid="{74E93F8B-1ED3-47C6-A726-D0CA21E0CB98}" name="CSPROC_ID" dataDxfId="30"/>
    <tableColumn id="4" xr3:uid="{8966D8B8-7EF4-4F01-8320-08246E18B0E2}" name="CHAR_VAL" dataDxfId="29"/>
    <tableColumn id="5" xr3:uid="{F8140376-90A8-4D87-B3BE-C804C4A83BDA}" name="Data da caracteristica" dataDxfId="28"/>
    <tableColumn id="6" xr3:uid="{03650016-D612-4B9E-A20F-BA0D8C0ACB6A}" name="Data de remocao" dataDxfId="27"/>
    <tableColumn id="7" xr3:uid="{45D17300-B5C9-4DA1-81CA-F59D67C1F902}" name="Data da leitura" dataDxfId="26"/>
    <tableColumn id="8" xr3:uid="{C493B1C4-52CF-4D3A-8151-6E9F37EB7277}" name="MTR_CONFIG_ID" dataDxfId="25"/>
    <tableColumn id="9" xr3:uid="{3091DF62-871B-4BAA-B4CA-51390DAE7A80}" name="MR_ID" dataDxfId="24"/>
    <tableColumn id="10" xr3:uid="{5ED8EBE0-CAD8-4CDA-9679-ABE97194930F}" name="Data activacao Swout" dataDxfId="23"/>
    <tableColumn id="11" xr3:uid="{B6E5F179-4CF9-46D9-96C0-DD971EED4BDE}" name="Diferenca" dataDxfId="22"/>
    <tableColumn id="12" xr3:uid="{D5811851-FE79-4A47-8EB6-5498777E62CB}" name="leitura - CMATRSTA" dataDxfId="21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A7E72347-88B9-4111-8D71-A0A303B6246F}" name="Table24" displayName="Table24" ref="A4:Q5" insertRow="1" totalsRowShown="0">
  <autoFilter ref="A4:Q5" xr:uid="{39291073-9D23-4D02-B73D-2851B6C20439}"/>
  <tableColumns count="17">
    <tableColumn id="1" xr3:uid="{FFAF9800-9571-4A5E-8E0D-92F78F9C0AEF}" name="CSPROC_ID"/>
    <tableColumn id="2" xr3:uid="{E0118CA6-63E0-47F9-92CF-76B0E77270B5}" name="BUS_OBJ_CD"/>
    <tableColumn id="3" xr3:uid="{23C792CF-70BA-4F49-AD14-99A31BA520CA}" name=" BO_STATUS_CD, "/>
    <tableColumn id="4" xr3:uid="{14B3D4BC-583E-48A6-84E7-F50B84D3CC73}" name="BO_STATUS_DTTM"/>
    <tableColumn id="5" xr3:uid="{5B537FB4-BC25-465C-A2F2-BE88E65129E1}" name="CS_MARK_PROC"/>
    <tableColumn id="6" xr3:uid="{553924C0-5BB2-4C01-AF2F-ACE9FAC29D08}" name="SVC_TYPE_CD"/>
    <tableColumn id="7" xr3:uid="{3FA45F37-A36C-44CE-9743-67C12E00F695}" name="COUNTRY"/>
    <tableColumn id="8" xr3:uid="{85F250E6-A5F7-42E1-A9C6-FEB9C54AEC09}" name="SP_ID"/>
    <tableColumn id="9" xr3:uid="{3FBCF958-F6D3-44BC-ACFA-C5C1B07A9E9D}" name="ACCT_ID"/>
    <tableColumn id="10" xr3:uid="{5FB8E22B-E5A1-4283-88A5-0502AEAB9AC2}" name="PREM_ID"/>
    <tableColumn id="11" xr3:uid="{8C0D95B2-4D31-413D-AEB0-0FF42AC074C0}" name="UA_ID"/>
    <tableColumn id="12" xr3:uid="{EB62A933-A500-462A-9863-9F32CB18DB8D}" name="SA_ATR_ID"/>
    <tableColumn id="13" xr3:uid="{CDA58A95-6CCB-4F5B-A0BD-528A1BC8A347}" name="SA_ML_ID"/>
    <tableColumn id="14" xr3:uid="{4DB8560B-16DD-4E20-AC38-0C9B9DFDC982}" name="CSPROC_EF_DTTM"/>
    <tableColumn id="15" xr3:uid="{803E65E7-AECE-4E90-9A15-4E572BF161B5}" name="VERSION, USER_ID"/>
    <tableColumn id="16" xr3:uid="{AE94139E-9C92-4B30-B8CE-171181090626}" name="CSPROC_CORR_ID"/>
    <tableColumn id="17" xr3:uid="{BA78C14D-119F-4B66-919B-74820B8F2B83}" name="CM_CS_CUPS_CPE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F4F387E-5A7C-470E-925D-259EE11B51E9}" name="Table27" displayName="Table27" ref="B5:C7" totalsRowShown="0">
  <autoFilter ref="B5:C7" xr:uid="{1F12E6E8-15B5-427A-85E5-0D96F1EDFC3F}"/>
  <tableColumns count="2">
    <tableColumn id="1" xr3:uid="{380E1970-91CF-4168-8873-E5F6C2609A3B}" name="bo_status_cd"/>
    <tableColumn id="2" xr3:uid="{C0FC0A98-5939-4B39-9098-014F4C7B04E3}" name="contProcs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77E0B0C-1628-4CB5-A6F6-ED0FFC1FD442}" name="Table25" displayName="Table25" ref="A6:R7" insertRow="1" totalsRowShown="0">
  <autoFilter ref="A6:R7" xr:uid="{5E9A5D50-111A-44CC-8D55-06706EE2AA77}"/>
  <tableColumns count="18">
    <tableColumn id="1" xr3:uid="{D85ADC16-F5A6-4F71-B490-5F82835A24E5}" name="CSPROC_ID" dataDxfId="20"/>
    <tableColumn id="2" xr3:uid="{E33F28B9-979C-4FA1-AB66-EEC406CEDC9A}" name="BUS_OBJ_CD"/>
    <tableColumn id="3" xr3:uid="{209D79ED-249E-4904-BFAF-11E08AC256BA}" name=" BO_STATUS_CD, "/>
    <tableColumn id="4" xr3:uid="{FD5002D9-F1D8-4166-B099-73DF7B70EA72}" name="BO_STATUS_DTTM"/>
    <tableColumn id="5" xr3:uid="{DB93E60E-48DE-41D0-B46E-AA3C9022C6FB}" name="CS_MARK_PROC"/>
    <tableColumn id="6" xr3:uid="{209E3BE6-F389-4436-93F1-28797BA6FFA9}" name="SVC_TYPE_CD"/>
    <tableColumn id="7" xr3:uid="{E621399A-4984-417F-92A9-4AE795A60153}" name="COUNTRY"/>
    <tableColumn id="8" xr3:uid="{A19EA6A1-0576-4E22-B911-1AD7D54612B2}" name="SP_ID"/>
    <tableColumn id="9" xr3:uid="{E926B443-C2E3-4EF6-9551-EBED937CEC16}" name="ACCT_ID"/>
    <tableColumn id="10" xr3:uid="{2D386F56-A2BE-4B24-AFA4-5A1970D45E29}" name="PREM_ID"/>
    <tableColumn id="11" xr3:uid="{5D3B7E72-2A6F-4E9F-BE41-69B62077BC8B}" name="UA_ID"/>
    <tableColumn id="12" xr3:uid="{189D9F33-B876-47BE-AC12-FB42EE1DE25B}" name="SA_ATR_ID"/>
    <tableColumn id="13" xr3:uid="{E841244A-3796-4CE6-84AB-8F1124E3ABCF}" name="SA_ML_ID"/>
    <tableColumn id="14" xr3:uid="{588EAD84-52A1-4356-A1B0-C7E9B844C462}" name="CSPROC_EF_DTTM"/>
    <tableColumn id="15" xr3:uid="{997F6FE2-5DCA-4549-9FEC-C4312FB725A3}" name="VERSION, USER_ID"/>
    <tableColumn id="16" xr3:uid="{CD9F00FC-0179-44B0-B640-6097F1A24ADD}" name="CSPROC_CORR_ID"/>
    <tableColumn id="17" xr3:uid="{C8317254-AD78-410C-829C-1A6847C5294E}" name="CM_CS_CUPS_CPE"/>
    <tableColumn id="18" xr3:uid="{7043B575-8460-49CA-8B3F-DDC9522B1171}" name="Column1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B204C06-5C80-498F-BF22-E4D0330BE67E}" name="Table7" displayName="Table7" ref="C9:D10" insertRow="1" totalsRowShown="0">
  <autoFilter ref="C9:D10" xr:uid="{3F55D1DF-87DA-4C1D-B0C4-DFAE802E287B}"/>
  <tableColumns count="2">
    <tableColumn id="1" xr3:uid="{CF085F14-B10B-49F7-A48D-37D1B6C54731}" name="msg_in_err"/>
    <tableColumn id="2" xr3:uid="{2ED27247-561A-40A4-8B52-A4C00FCFA94F}" name="TO_CHAR(error_dtl)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BF5D4B6-5282-4CF4-BA1A-9445D1662516}" name="Table23" displayName="Table23" ref="D4:F5" totalsRowShown="0">
  <autoFilter ref="D4:F5" xr:uid="{97B80215-8513-4FA7-A2F0-2A38CFB1D520}"/>
  <tableColumns count="3">
    <tableColumn id="1" xr3:uid="{E00E9FB0-596B-4CF7-A287-9886E2F5F2B2}" name="CSPROC_ID" dataDxfId="19"/>
    <tableColumn id="2" xr3:uid="{E3EF44A8-E3FA-48F3-9CE9-559D07DA4412}" name="BUS_OBJ_CD"/>
    <tableColumn id="3" xr3:uid="{27EDDBD0-7AC9-4EB3-8494-2F43DE1977BE}" name="BO_STATUS_DTTM" dataDxfId="18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0D39175-B140-4A41-BC5A-0C89CF674AA4}" name="TblVal422" displayName="TblVal422" ref="A3:O13" totalsRowShown="0" headerRowDxfId="17" dataDxfId="15" headerRowBorderDxfId="16">
  <autoFilter ref="A3:O13" xr:uid="{944F3D8A-ED4A-47E9-8908-688FD408FA14}"/>
  <tableColumns count="15">
    <tableColumn id="1" xr3:uid="{1684E246-7D65-4FF6-83A2-1E6E12358CBD}" name="SP_ID" dataDxfId="14"/>
    <tableColumn id="2" xr3:uid="{9737D000-B73F-4837-893C-94C43B46E8C6}" name="GEO_VAL" dataDxfId="13"/>
    <tableColumn id="3" xr3:uid="{EC637F17-DA6F-408F-B89F-C454E7F25114}" name="CSPROC_ID" dataDxfId="12"/>
    <tableColumn id="4" xr3:uid="{00482298-576E-406A-A9CA-70830D9CBE6E}" name="CS_MARK_PROC" dataDxfId="11"/>
    <tableColumn id="5" xr3:uid="{74D05E00-5745-4CD1-AB26-B98DC63F9F44}" name="CHAR_VAL" dataDxfId="10"/>
    <tableColumn id="6" xr3:uid="{E2225C00-892F-4F73-9763-8681990FF384}" name="Data da caracteristica" dataDxfId="9"/>
    <tableColumn id="7" xr3:uid="{555AAAF6-3CC7-4405-9B7B-F43A78C3D9C7}" name="Data de remocao" dataDxfId="8"/>
    <tableColumn id="8" xr3:uid="{436A7FF2-EDE4-45CA-877E-114B4C322021}" name="Data da leitura" dataDxfId="7"/>
    <tableColumn id="9" xr3:uid="{26676E52-A141-4291-BF55-B9BCB358BDC3}" name="MTR_CONFIG_ID" dataDxfId="6"/>
    <tableColumn id="10" xr3:uid="{679A76BC-C615-47D0-8196-D1C4A2494520}" name="MR_ID" dataDxfId="5"/>
    <tableColumn id="11" xr3:uid="{B2CC44EC-B202-40FC-A184-59DE41A95E94}" name="Data activacao Swout" dataDxfId="4"/>
    <tableColumn id="12" xr3:uid="{D8B0D191-B16E-4F56-BD50-5EA6386B0A75}" name="PODE USAR" dataDxfId="3"/>
    <tableColumn id="13" xr3:uid="{326DE7B0-8924-4161-A32C-C34E6863F916}" name="leitura - CMATRSTA" dataDxfId="2"/>
    <tableColumn id="14" xr3:uid="{F88040FD-17B6-4629-A206-71CE3EEF7DC8}" name="ESTADO DO SA_ML" dataDxfId="1"/>
    <tableColumn id="15" xr3:uid="{B4DE923C-9005-425C-8336-DF46861FB03F}" name="Saldo do SA_ML" dataDxfId="0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462906D-9590-43CE-8502-009BA9859DA1}" name="Table723" displayName="Table723" ref="R3:S21" totalsRowShown="0">
  <autoFilter ref="R3:S21" xr:uid="{FC0AE835-9CA7-4FF0-8956-A421FE3B4EC4}"/>
  <tableColumns count="2">
    <tableColumn id="2" xr3:uid="{CB902988-7F3F-4276-AFFF-1B57E4C2FDAD}" name="Casos Tratados - SP"/>
    <tableColumn id="1" xr3:uid="{47597C46-F99E-4C54-9502-9D60E2BF78C3}" name="Observaçõ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4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oleObject" Target="../embeddings/oleObject3.bin"/><Relationship Id="rId11" Type="http://schemas.openxmlformats.org/officeDocument/2006/relationships/table" Target="../tables/table15.xml"/><Relationship Id="rId5" Type="http://schemas.openxmlformats.org/officeDocument/2006/relationships/image" Target="../media/image2.emf"/><Relationship Id="rId10" Type="http://schemas.openxmlformats.org/officeDocument/2006/relationships/table" Target="../tables/table14.xml"/><Relationship Id="rId4" Type="http://schemas.openxmlformats.org/officeDocument/2006/relationships/oleObject" Target="../embeddings/oleObject2.bin"/><Relationship Id="rId9" Type="http://schemas.openxmlformats.org/officeDocument/2006/relationships/image" Target="../media/image4.emf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3:U102"/>
  <sheetViews>
    <sheetView tabSelected="1" zoomScaleNormal="100" workbookViewId="0">
      <selection activeCell="A11" sqref="A11"/>
    </sheetView>
  </sheetViews>
  <sheetFormatPr defaultRowHeight="15" x14ac:dyDescent="0.25"/>
  <cols>
    <col min="1" max="1" width="89.42578125" style="18" bestFit="1" customWidth="1" collapsed="1"/>
    <col min="2" max="2" width="10.5703125" bestFit="1" customWidth="1" collapsed="1"/>
    <col min="3" max="3" width="77.5703125" bestFit="1" customWidth="1" collapsed="1"/>
    <col min="4" max="4" width="19.85546875" customWidth="1" collapsed="1"/>
    <col min="5" max="5" width="9" bestFit="1" customWidth="1" collapsed="1"/>
    <col min="6" max="6" width="30.140625" bestFit="1" customWidth="1" collapsed="1"/>
    <col min="7" max="7" width="65.5703125" bestFit="1" customWidth="1" collapsed="1"/>
    <col min="8" max="8" width="20.5703125" customWidth="1" collapsed="1"/>
    <col min="9" max="9" width="17.140625" customWidth="1" collapsed="1"/>
    <col min="10" max="10" width="15.140625" customWidth="1" collapsed="1"/>
    <col min="11" max="11" width="16.85546875" customWidth="1" collapsed="1"/>
    <col min="12" max="12" width="12.140625" bestFit="1" customWidth="1" collapsed="1"/>
    <col min="13" max="13" width="20.5703125" customWidth="1" collapsed="1"/>
    <col min="14" max="14" width="12.42578125" customWidth="1" collapsed="1"/>
    <col min="15" max="16" width="18.85546875" customWidth="1" collapsed="1"/>
    <col min="17" max="17" width="16.5703125" customWidth="1" collapsed="1"/>
    <col min="18" max="18" width="11.5703125" bestFit="1" customWidth="1" collapsed="1"/>
    <col min="19" max="19" width="17.140625" bestFit="1" customWidth="1" collapsed="1"/>
    <col min="20" max="20" width="42.140625" customWidth="1" collapsed="1"/>
    <col min="21" max="21" width="14.5703125" bestFit="1" customWidth="1" collapsed="1"/>
  </cols>
  <sheetData>
    <row r="3" spans="1:21" x14ac:dyDescent="0.25">
      <c r="A3" s="19" t="s">
        <v>39</v>
      </c>
      <c r="B3" s="116">
        <v>43571.903652986111</v>
      </c>
      <c r="C3" s="64"/>
      <c r="G3" s="63"/>
      <c r="H3" s="63"/>
      <c r="I3" s="63"/>
      <c r="L3" s="64"/>
    </row>
    <row r="4" spans="1:21" x14ac:dyDescent="0.25">
      <c r="B4" s="64"/>
    </row>
    <row r="5" spans="1:21" ht="17.25" x14ac:dyDescent="0.3">
      <c r="A5" s="140" t="s">
        <v>30</v>
      </c>
      <c r="B5" s="141"/>
      <c r="C5" s="142"/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"/>
      <c r="U5" s="1"/>
    </row>
    <row r="6" spans="1:21" ht="20.100000000000001" customHeight="1" x14ac:dyDescent="0.25">
      <c r="A6" s="99" t="s">
        <v>21</v>
      </c>
      <c r="B6" s="36" t="s">
        <v>28</v>
      </c>
      <c r="C6" s="100" t="s">
        <v>29</v>
      </c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1" x14ac:dyDescent="0.25">
      <c r="A7" s="101" t="str">
        <f>'VAL1'!A1:D1</f>
        <v>VAL1: Processo Não terminado com última mensagem a NotValidated</v>
      </c>
      <c r="B7" s="36">
        <f>VLOOKUP('VAL1'!F1,TblOkNok[[OK/NOK]:[Valor]],2,FALSE)</f>
        <v>2</v>
      </c>
      <c r="C7" s="6" t="str">
        <f>IFERROR(INDEX(TblVal1[],MATCH("NOK",TblVal1[2001-01-13 00:00:00.0],0),4) &amp;" com " &amp; INDEX(TblVal1[],MATCH("NOK",TblVal1[2001-01-13 00:00:00.0],0),1) &amp; " mensagens","Com resultados normais")</f>
        <v>Com resultados normais</v>
      </c>
      <c r="H7" s="6"/>
      <c r="I7" s="6"/>
      <c r="J7" s="6"/>
      <c r="K7" s="6"/>
      <c r="L7" s="8"/>
      <c r="M7" s="6"/>
      <c r="N7" s="8"/>
      <c r="O7" s="6"/>
      <c r="P7" s="6"/>
      <c r="Q7" s="9"/>
      <c r="R7" s="6"/>
      <c r="S7" s="6"/>
      <c r="T7" s="6"/>
      <c r="U7" s="6"/>
    </row>
    <row r="8" spans="1:21" x14ac:dyDescent="0.25">
      <c r="A8" s="101" t="str">
        <f>'VAL2'!A1:C1</f>
        <v>VAL2: Mensagens Por Processar</v>
      </c>
      <c r="B8" s="36">
        <f>VLOOKUP('VAL2'!E1,TblOkNok[[OK/NOK]:[Valor]],2,FALSE)</f>
        <v>2</v>
      </c>
      <c r="C8" s="6" t="s">
        <v>282</v>
      </c>
      <c r="H8" s="6"/>
      <c r="I8" s="6"/>
      <c r="J8" s="6"/>
      <c r="K8" s="6"/>
      <c r="L8" s="8"/>
      <c r="M8" s="6"/>
      <c r="N8" s="8"/>
      <c r="O8" s="6"/>
      <c r="P8" s="6"/>
      <c r="Q8" s="9"/>
      <c r="R8" s="6"/>
      <c r="S8" s="6"/>
      <c r="T8" s="6"/>
      <c r="U8" s="6"/>
    </row>
    <row r="9" spans="1:21" x14ac:dyDescent="0.25">
      <c r="A9" s="101" t="str">
        <f>'VAL3'!A1:D1</f>
        <v>VAL3: Cambio Titular</v>
      </c>
      <c r="B9" s="36">
        <f>VLOOKUP('VAL3'!F1,TblOkNok[[OK/NOK]:[Valor]],2,FALSE)</f>
        <v>2</v>
      </c>
      <c r="C9" s="105" t="str">
        <f>IF(COUNT(TblVal3[Id Caso])=1,COUNT(TblVal3[Id Caso]) &amp;" resultado",COUNT(TblVal3[Id Caso]) &amp; " resultados")</f>
        <v>0 resultados</v>
      </c>
      <c r="H9" s="6"/>
      <c r="I9" s="6"/>
      <c r="J9" s="6"/>
      <c r="K9" s="6"/>
      <c r="L9" s="8"/>
      <c r="M9" s="6"/>
      <c r="N9" s="8"/>
      <c r="O9" s="6"/>
      <c r="P9" s="6"/>
      <c r="Q9" s="9"/>
      <c r="R9" s="6"/>
      <c r="S9" s="6"/>
      <c r="T9" s="6"/>
      <c r="U9" s="6"/>
    </row>
    <row r="10" spans="1:21" x14ac:dyDescent="0.25">
      <c r="A10" s="101" t="str">
        <f>'VAL4'!A1:I1</f>
        <v>VAL4: Configurações SWOUT Mal Fechadas</v>
      </c>
      <c r="B10" s="36">
        <f>VLOOKUP('VAL4'!L1,TblOkNok[[OK/NOK]:[Valor]],2,FALSE)</f>
        <v>2</v>
      </c>
      <c r="C10" s="105" t="str">
        <f>IF(COUNT(TblVal4[PS])=1,COUNT(TblVal4[PS]) &amp;" resultado",COUNT(TblVal4[PS]) &amp; " resultados")</f>
        <v>0 resultados</v>
      </c>
      <c r="H10" s="6"/>
      <c r="I10" s="6"/>
      <c r="J10" s="6"/>
      <c r="K10" s="6"/>
      <c r="L10" s="8"/>
      <c r="M10" s="6"/>
      <c r="N10" s="8"/>
      <c r="O10" s="6"/>
      <c r="P10" s="6"/>
      <c r="Q10" s="9"/>
      <c r="R10" s="6"/>
      <c r="S10" s="6"/>
      <c r="T10" s="6"/>
      <c r="U10" s="6"/>
    </row>
    <row r="11" spans="1:21" x14ac:dyDescent="0.25">
      <c r="A11" s="101" t="str">
        <f>'VAL5'!A1:J1</f>
        <v>VAL5: Configurações SWOUT que deveriam estar fechadas</v>
      </c>
      <c r="B11" s="36">
        <f>VLOOKUP('VAL5'!M1,TblOkNok[[OK/NOK]:[Valor]],2,FALSE)</f>
        <v>2</v>
      </c>
      <c r="C11" s="105" t="str">
        <f>IF(COUNT(Table15[SP_ID])=1,COUNT(Table15[SP_ID]) &amp;" resultado",COUNT(Table15[SP_ID]) &amp; " resultados")</f>
        <v>0 resultados</v>
      </c>
      <c r="H11" s="6"/>
      <c r="I11" s="6"/>
      <c r="J11" s="6"/>
      <c r="K11" s="6"/>
      <c r="L11" s="8"/>
      <c r="M11" s="6"/>
      <c r="N11" s="8"/>
      <c r="O11" s="6"/>
      <c r="P11" s="6"/>
      <c r="Q11" s="9"/>
      <c r="R11" s="6"/>
      <c r="S11" s="6"/>
      <c r="T11" s="6"/>
      <c r="U11" s="6"/>
    </row>
    <row r="12" spans="1:21" x14ac:dyDescent="0.25">
      <c r="A12" s="101" t="str">
        <f>'VAL6'!A1:J1</f>
        <v>VAL6: Configurações ou SAs ativos duplicados</v>
      </c>
      <c r="B12" s="36">
        <f>VLOOKUP('VAL6'!M1,TblOkNok[[OK/NOK]:[Valor]],2,FALSE)</f>
        <v>2</v>
      </c>
      <c r="C12" s="105" t="str">
        <f>IF(COUNT(Table1518[SP_ID])=1,COUNT(Table1518[SP_ID]) &amp;" resultado",COUNT(Table1518[SP_ID]) &amp; " resultados")</f>
        <v>0 resultados</v>
      </c>
      <c r="D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</row>
    <row r="13" spans="1:21" x14ac:dyDescent="0.25">
      <c r="A13" s="101" t="str">
        <f>'VAL7'!A1:J1</f>
        <v>VAL7: SAs sem mapas horários atribuidos</v>
      </c>
      <c r="B13" s="36">
        <f>VLOOKUP('VAL7'!M1,TblOkNok[[OK/NOK]:[Valor]],2,FALSE)</f>
        <v>2</v>
      </c>
      <c r="C13" s="105" t="str">
        <f>IF(COUNT(Table151819[GEO_VAL])=1,COUNT(Table151819[GEO_VAL]) &amp;" resultado",COUNT(Table151819[GEO_VAL]) &amp; " resultados")</f>
        <v>0 resultados</v>
      </c>
      <c r="D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10"/>
    </row>
    <row r="14" spans="1:21" x14ac:dyDescent="0.25">
      <c r="A14" s="101" t="str">
        <f>'VAL8'!A1:J1</f>
        <v>VAL8: Processos em estado STOPSW/DATESERROR sem char CMATRSTA no SP e com erros no processo</v>
      </c>
      <c r="B14" s="36">
        <f>VLOOKUP('VAL8'!M1,TblOkNok[[OK/NOK]:[Valor]],2)</f>
        <v>2</v>
      </c>
      <c r="C14" s="105" t="str">
        <f>IF(COUNT(Table24[CSPROC_ID])=1,COUNT(Table24[CSPROC_ID]) &amp;" resultado",COUNT(Table24[CSPROC_ID]) &amp; " resultados")</f>
        <v>0 resultados</v>
      </c>
      <c r="D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10"/>
    </row>
    <row r="15" spans="1:21" x14ac:dyDescent="0.25">
      <c r="A15" s="101" t="str">
        <f>'VAl9'!A1</f>
        <v>VAL9: D041s por estados tirando o cancelado e rejeitado</v>
      </c>
      <c r="B15" s="36">
        <f>VLOOKUP('VAl9'!I1,TblOkNok[[OK/NOK]:[Valor]],2,FALSE)</f>
        <v>2</v>
      </c>
      <c r="C15" s="6" t="e">
        <f ca="1">_xlfn.TEXTJOIN(": ",TRUE,Table27[])</f>
        <v>#NAME?</v>
      </c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10"/>
    </row>
    <row r="16" spans="1:21" x14ac:dyDescent="0.25">
      <c r="A16" s="102" t="str">
        <f>'VAL10'!A1</f>
        <v>VAL10: D041s como ultimo processo e as configs estão fechadas</v>
      </c>
      <c r="B16" s="103">
        <f>VLOOKUP('VAL10'!I1,TblOkNok[[OK/NOK]:[Valor]],2,FALSE)</f>
        <v>2</v>
      </c>
      <c r="C16" s="105" t="str">
        <f>IF(COUNT(Table25[CSPROC_ID])=1,COUNT(Table25[CSPROC_ID]) &amp;" resultado",COUNT(Table25[CSPROC_ID]) &amp; " resultados")</f>
        <v>0 resultados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10"/>
    </row>
    <row r="17" spans="1:21" x14ac:dyDescent="0.25">
      <c r="A17" s="102" t="str">
        <f>'VAL11'!A1</f>
        <v>VAL11: Mensagens OUTBOUND não enviadas</v>
      </c>
      <c r="B17" s="103">
        <f>VLOOKUP('VAL11'!I1,TblOkNok[[OK/NOK]:[Valor]],2,FALSE)</f>
        <v>2</v>
      </c>
      <c r="C17" s="105" t="str">
        <f>IF(COUNT(Table7[msg_in_err])=1,COUNT(Table7[msg_in_err]) &amp;" resultado",COUNT(Table7[msg_in_err]) &amp; " resultados")</f>
        <v>0 resultados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10"/>
    </row>
    <row r="18" spans="1:21" x14ac:dyDescent="0.25">
      <c r="A18" s="102" t="str">
        <f>'VAL12'!C1</f>
        <v>VAL12: Processos no estado CHECKRS</v>
      </c>
      <c r="B18" s="103">
        <f>VLOOKUP('VAL12'!K1,TblOkNok[[OK/NOK]:[Valor]],2,FALSE)</f>
        <v>2</v>
      </c>
      <c r="C18" s="130" t="str">
        <f>IF(COUNT(Table23[CSPROC_ID])=1,COUNT(Table23[CSPROC_ID]) &amp;" resultado",COUNT(Table23[CSPROC_ID]) &amp; " resultados")</f>
        <v>0 resultados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10"/>
    </row>
    <row r="19" spans="1:21" x14ac:dyDescent="0.25"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10"/>
    </row>
    <row r="20" spans="1:2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10"/>
    </row>
    <row r="21" spans="1:2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10"/>
    </row>
    <row r="22" spans="1:21" x14ac:dyDescent="0.25">
      <c r="A22" s="20"/>
      <c r="B22" s="10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10"/>
    </row>
    <row r="23" spans="1:21" x14ac:dyDescent="0.25">
      <c r="A23" s="20"/>
      <c r="B23" s="10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10"/>
    </row>
    <row r="24" spans="1:21" x14ac:dyDescent="0.25">
      <c r="A24" s="20"/>
      <c r="B24" s="10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10"/>
    </row>
    <row r="25" spans="1:21" x14ac:dyDescent="0.25">
      <c r="A25" s="20"/>
      <c r="B25" s="10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10"/>
    </row>
    <row r="26" spans="1:21" x14ac:dyDescent="0.25">
      <c r="A26" s="20"/>
      <c r="B26" s="10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10"/>
    </row>
    <row r="27" spans="1:21" x14ac:dyDescent="0.25">
      <c r="A27" s="20"/>
      <c r="B27" s="10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10"/>
    </row>
    <row r="28" spans="1:21" x14ac:dyDescent="0.25">
      <c r="A28" s="20"/>
      <c r="B28" s="10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10"/>
    </row>
    <row r="29" spans="1:21" x14ac:dyDescent="0.25">
      <c r="A29" s="20"/>
      <c r="B29" s="10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10"/>
    </row>
    <row r="30" spans="1:21" x14ac:dyDescent="0.25">
      <c r="A30" s="20"/>
      <c r="B30" s="10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10"/>
    </row>
    <row r="31" spans="1:21" x14ac:dyDescent="0.25">
      <c r="A31" s="20"/>
      <c r="B31" s="10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10"/>
    </row>
    <row r="32" spans="1:21" x14ac:dyDescent="0.25">
      <c r="A32" s="20"/>
      <c r="B32" s="10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10"/>
    </row>
    <row r="33" spans="1:21" x14ac:dyDescent="0.25">
      <c r="A33" s="20"/>
      <c r="B33" s="10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10"/>
    </row>
    <row r="34" spans="1:21" x14ac:dyDescent="0.25">
      <c r="A34" s="2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</row>
    <row r="35" spans="1:21" x14ac:dyDescent="0.25">
      <c r="A35" s="2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</row>
    <row r="36" spans="1:21" x14ac:dyDescent="0.25">
      <c r="A36" s="2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</row>
    <row r="37" spans="1:21" x14ac:dyDescent="0.25">
      <c r="A37" s="2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</row>
    <row r="38" spans="1:21" x14ac:dyDescent="0.25">
      <c r="A38" s="2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</row>
    <row r="39" spans="1:21" x14ac:dyDescent="0.25">
      <c r="A39" s="2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</row>
    <row r="40" spans="1:21" x14ac:dyDescent="0.25">
      <c r="A40" s="2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</row>
    <row r="41" spans="1:21" x14ac:dyDescent="0.25">
      <c r="A41" s="2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</row>
    <row r="42" spans="1:21" x14ac:dyDescent="0.25">
      <c r="A42" s="2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</row>
    <row r="43" spans="1:21" x14ac:dyDescent="0.25">
      <c r="A43" s="2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</row>
    <row r="44" spans="1:21" x14ac:dyDescent="0.25">
      <c r="A44" s="2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</row>
    <row r="45" spans="1:21" x14ac:dyDescent="0.25">
      <c r="A45" s="2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</row>
    <row r="46" spans="1:21" x14ac:dyDescent="0.25">
      <c r="A46" s="2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</row>
    <row r="47" spans="1:21" x14ac:dyDescent="0.25">
      <c r="A47" s="2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</row>
    <row r="48" spans="1:21" x14ac:dyDescent="0.25">
      <c r="A48" s="2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</row>
    <row r="49" spans="1:21" x14ac:dyDescent="0.25">
      <c r="A49" s="2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</row>
    <row r="50" spans="1:21" x14ac:dyDescent="0.25">
      <c r="A50" s="2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</row>
    <row r="51" spans="1:21" x14ac:dyDescent="0.25">
      <c r="A51" s="2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</row>
    <row r="52" spans="1:21" x14ac:dyDescent="0.25">
      <c r="A52" s="2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</row>
    <row r="53" spans="1:21" x14ac:dyDescent="0.25">
      <c r="A53" s="2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</row>
    <row r="54" spans="1:21" x14ac:dyDescent="0.25">
      <c r="A54" s="2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</row>
    <row r="55" spans="1:21" x14ac:dyDescent="0.25">
      <c r="A55" s="2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</row>
    <row r="56" spans="1:21" x14ac:dyDescent="0.25">
      <c r="A56" s="2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</row>
    <row r="57" spans="1:21" x14ac:dyDescent="0.25">
      <c r="A57" s="2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</row>
    <row r="58" spans="1:21" x14ac:dyDescent="0.25">
      <c r="A58" s="2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</row>
    <row r="59" spans="1:21" x14ac:dyDescent="0.25">
      <c r="A59" s="2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</row>
    <row r="60" spans="1:21" x14ac:dyDescent="0.25">
      <c r="A60" s="2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</row>
    <row r="61" spans="1:21" x14ac:dyDescent="0.25">
      <c r="A61" s="2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</row>
    <row r="62" spans="1:21" x14ac:dyDescent="0.25">
      <c r="A62" s="2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</row>
    <row r="63" spans="1:21" x14ac:dyDescent="0.25">
      <c r="A63" s="2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</row>
    <row r="64" spans="1:21" x14ac:dyDescent="0.25">
      <c r="A64" s="2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</row>
    <row r="65" spans="1:21" x14ac:dyDescent="0.25">
      <c r="A65" s="2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</row>
    <row r="66" spans="1:21" x14ac:dyDescent="0.25">
      <c r="A66" s="2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</row>
    <row r="67" spans="1:21" x14ac:dyDescent="0.25">
      <c r="A67" s="2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</row>
    <row r="68" spans="1:21" x14ac:dyDescent="0.25">
      <c r="A68" s="2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</row>
    <row r="69" spans="1:21" x14ac:dyDescent="0.25">
      <c r="A69" s="2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</row>
    <row r="70" spans="1:21" x14ac:dyDescent="0.25">
      <c r="A70" s="2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</row>
    <row r="71" spans="1:21" x14ac:dyDescent="0.25">
      <c r="A71" s="2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</row>
    <row r="72" spans="1:21" x14ac:dyDescent="0.25">
      <c r="A72" s="2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</row>
    <row r="73" spans="1:21" x14ac:dyDescent="0.25">
      <c r="A73" s="2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</row>
    <row r="74" spans="1:21" x14ac:dyDescent="0.25">
      <c r="A74" s="2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</row>
    <row r="75" spans="1:21" x14ac:dyDescent="0.25">
      <c r="A75" s="2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</row>
    <row r="76" spans="1:21" x14ac:dyDescent="0.25">
      <c r="A76" s="2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</row>
    <row r="77" spans="1:21" x14ac:dyDescent="0.25">
      <c r="A77" s="2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</row>
    <row r="78" spans="1:21" x14ac:dyDescent="0.25">
      <c r="A78" s="2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</row>
    <row r="79" spans="1:21" x14ac:dyDescent="0.25">
      <c r="A79" s="2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</row>
    <row r="80" spans="1:21" x14ac:dyDescent="0.25"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</row>
    <row r="81" spans="3:21" x14ac:dyDescent="0.25"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</row>
    <row r="82" spans="3:21" x14ac:dyDescent="0.25"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</row>
    <row r="83" spans="3:21" x14ac:dyDescent="0.25"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</row>
    <row r="84" spans="3:21" x14ac:dyDescent="0.25"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</row>
    <row r="85" spans="3:21" x14ac:dyDescent="0.25"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</row>
    <row r="86" spans="3:21" x14ac:dyDescent="0.25"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</row>
    <row r="87" spans="3:21" x14ac:dyDescent="0.25"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</row>
    <row r="88" spans="3:21" x14ac:dyDescent="0.25"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</row>
    <row r="89" spans="3:21" x14ac:dyDescent="0.25"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</row>
    <row r="90" spans="3:21" x14ac:dyDescent="0.25"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</row>
    <row r="91" spans="3:21" x14ac:dyDescent="0.25"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</row>
    <row r="92" spans="3:21" x14ac:dyDescent="0.25"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</row>
    <row r="93" spans="3:21" x14ac:dyDescent="0.25"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</row>
    <row r="94" spans="3:21" x14ac:dyDescent="0.25"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</row>
    <row r="95" spans="3:21" x14ac:dyDescent="0.25"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</row>
    <row r="96" spans="3:21" x14ac:dyDescent="0.25"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</row>
    <row r="97" spans="3:21" x14ac:dyDescent="0.25"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</row>
    <row r="98" spans="3:21" x14ac:dyDescent="0.25"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</row>
    <row r="99" spans="3:21" x14ac:dyDescent="0.25"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</row>
    <row r="100" spans="3:21" x14ac:dyDescent="0.25"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</row>
    <row r="101" spans="3:21" x14ac:dyDescent="0.25"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</row>
    <row r="102" spans="3:21" x14ac:dyDescent="0.25"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</row>
  </sheetData>
  <mergeCells count="2">
    <mergeCell ref="H5:Q5"/>
    <mergeCell ref="A5:C5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4097" r:id="rId4">
          <objectPr defaultSize="0" r:id="rId5">
            <anchor moveWithCells="1">
              <from>
                <xdr:col>2</xdr:col>
                <xdr:colOff>1266825</xdr:colOff>
                <xdr:row>0</xdr:row>
                <xdr:rowOff>66675</xdr:rowOff>
              </from>
              <to>
                <xdr:col>2</xdr:col>
                <xdr:colOff>2352675</xdr:colOff>
                <xdr:row>3</xdr:row>
                <xdr:rowOff>47625</xdr:rowOff>
              </to>
            </anchor>
          </objectPr>
        </oleObject>
      </mc:Choice>
      <mc:Fallback>
        <oleObject progId="Packager Shell Object" dvAspect="DVASPECT_ICON" shapeId="4097" r:id="rId4"/>
      </mc:Fallback>
    </mc:AlternateContent>
  </oleObjects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4" id="{A0D0E5B1-2A2A-4428-9EB6-B9DE5EEB5D84}">
            <x14:iconSet iconSet="3Symbol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0"/>
              <x14:cfIcon iconSet="3Symbols" iconId="0"/>
              <x14:cfIcon iconSet="3Symbols" iconId="2"/>
            </x14:iconSet>
          </x14:cfRule>
          <xm:sqref>B7:B17</xm:sqref>
        </x14:conditionalFormatting>
        <x14:conditionalFormatting xmlns:xm="http://schemas.microsoft.com/office/excel/2006/main">
          <x14:cfRule type="iconSet" priority="1" id="{B7E3956C-8541-4CF6-B854-7E1F65520468}">
            <x14:iconSet iconSet="3Symbol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0"/>
              <x14:cfIcon iconSet="3Symbols" iconId="0"/>
              <x14:cfIcon iconSet="3Symbols" iconId="2"/>
            </x14:iconSet>
          </x14:cfRule>
          <xm:sqref>B18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6D477-F462-4002-A5B1-FD4DE71BC7A2}">
  <sheetPr codeName="Folha2"/>
  <dimension ref="B1:G206"/>
  <sheetViews>
    <sheetView workbookViewId="0">
      <selection activeCell="B8" sqref="B8"/>
    </sheetView>
  </sheetViews>
  <sheetFormatPr defaultRowHeight="15" x14ac:dyDescent="0.25"/>
  <cols>
    <col min="2" max="2" width="23.28515625" customWidth="1" collapsed="1"/>
    <col min="3" max="3" width="20.85546875" style="61" customWidth="1" collapsed="1"/>
    <col min="4" max="4" width="22.85546875" bestFit="1" customWidth="1" collapsed="1"/>
    <col min="5" max="5" width="22.85546875" customWidth="1" collapsed="1"/>
    <col min="6" max="6" width="10.85546875" bestFit="1" customWidth="1" collapsed="1"/>
    <col min="7" max="7" width="79.85546875" customWidth="1" collapsed="1"/>
  </cols>
  <sheetData>
    <row r="1" spans="2:7" x14ac:dyDescent="0.25">
      <c r="B1" s="83" t="s">
        <v>139</v>
      </c>
    </row>
    <row r="2" spans="2:7" x14ac:dyDescent="0.25">
      <c r="B2" t="s">
        <v>131</v>
      </c>
      <c r="C2" s="61" t="s">
        <v>127</v>
      </c>
      <c r="D2" t="s">
        <v>128</v>
      </c>
      <c r="E2" t="s">
        <v>137</v>
      </c>
      <c r="F2" t="s">
        <v>129</v>
      </c>
      <c r="G2" t="s">
        <v>29</v>
      </c>
    </row>
    <row r="3" spans="2:7" ht="45" x14ac:dyDescent="0.25">
      <c r="B3" t="s">
        <v>132</v>
      </c>
      <c r="C3" s="61">
        <v>7193864430641</v>
      </c>
      <c r="D3" t="s">
        <v>134</v>
      </c>
      <c r="E3" t="s">
        <v>90</v>
      </c>
      <c r="F3" t="s">
        <v>130</v>
      </c>
      <c r="G3" s="82" t="s">
        <v>135</v>
      </c>
    </row>
    <row r="4" spans="2:7" ht="75" x14ac:dyDescent="0.25">
      <c r="B4" t="s">
        <v>133</v>
      </c>
      <c r="C4" s="61">
        <v>5391703851525</v>
      </c>
      <c r="D4" t="s">
        <v>87</v>
      </c>
      <c r="E4" t="s">
        <v>90</v>
      </c>
      <c r="F4" t="s">
        <v>130</v>
      </c>
      <c r="G4" s="82" t="s">
        <v>136</v>
      </c>
    </row>
    <row r="8" spans="2:7" x14ac:dyDescent="0.25">
      <c r="B8" s="83" t="s">
        <v>201</v>
      </c>
    </row>
    <row r="10" spans="2:7" s="56" customFormat="1" x14ac:dyDescent="0.25">
      <c r="B10" s="113" t="s">
        <v>202</v>
      </c>
      <c r="C10" s="114" t="s">
        <v>203</v>
      </c>
    </row>
    <row r="11" spans="2:7" x14ac:dyDescent="0.25">
      <c r="B11" s="112">
        <v>7368924576</v>
      </c>
      <c r="C11" s="115">
        <v>5064867143940</v>
      </c>
    </row>
    <row r="12" spans="2:7" x14ac:dyDescent="0.25">
      <c r="B12" s="112">
        <v>32406978427</v>
      </c>
      <c r="C12" s="115">
        <v>1815448752812</v>
      </c>
    </row>
    <row r="13" spans="2:7" x14ac:dyDescent="0.25">
      <c r="B13" s="112">
        <v>51063350863</v>
      </c>
      <c r="C13" s="115">
        <v>7231691424342</v>
      </c>
    </row>
    <row r="14" spans="2:7" x14ac:dyDescent="0.25">
      <c r="B14" s="112">
        <v>74482689893</v>
      </c>
      <c r="C14" s="115">
        <v>6258887213991</v>
      </c>
    </row>
    <row r="15" spans="2:7" x14ac:dyDescent="0.25">
      <c r="B15" s="112">
        <v>161152224582</v>
      </c>
      <c r="C15" s="115">
        <v>6257283286393</v>
      </c>
    </row>
    <row r="16" spans="2:7" x14ac:dyDescent="0.25">
      <c r="B16" s="112">
        <v>241995711887</v>
      </c>
      <c r="C16" s="115">
        <v>5819206681922</v>
      </c>
    </row>
    <row r="17" spans="2:3" x14ac:dyDescent="0.25">
      <c r="B17" s="112">
        <v>251651253746</v>
      </c>
      <c r="C17" s="115">
        <v>189017476418</v>
      </c>
    </row>
    <row r="18" spans="2:3" x14ac:dyDescent="0.25">
      <c r="B18" s="112">
        <v>317844568601</v>
      </c>
      <c r="C18" s="115">
        <v>8319366530211</v>
      </c>
    </row>
    <row r="19" spans="2:3" x14ac:dyDescent="0.25">
      <c r="B19" s="112">
        <v>320290694367</v>
      </c>
      <c r="C19" s="115">
        <v>2679418432228</v>
      </c>
    </row>
    <row r="20" spans="2:3" x14ac:dyDescent="0.25">
      <c r="B20" s="112">
        <v>352934247219</v>
      </c>
      <c r="C20" s="115">
        <v>2287465969507</v>
      </c>
    </row>
    <row r="21" spans="2:3" x14ac:dyDescent="0.25">
      <c r="B21" s="112">
        <v>369832892840</v>
      </c>
      <c r="C21" s="115">
        <v>4816459491993</v>
      </c>
    </row>
    <row r="22" spans="2:3" x14ac:dyDescent="0.25">
      <c r="B22" s="112">
        <v>375061708658</v>
      </c>
      <c r="C22" s="115">
        <v>6913079810010</v>
      </c>
    </row>
    <row r="23" spans="2:3" x14ac:dyDescent="0.25">
      <c r="B23" s="112">
        <v>382281154337</v>
      </c>
      <c r="C23" s="115">
        <v>8764567707778</v>
      </c>
    </row>
    <row r="24" spans="2:3" x14ac:dyDescent="0.25">
      <c r="B24" s="112">
        <v>390647563863</v>
      </c>
      <c r="C24" s="115">
        <v>9940016389937</v>
      </c>
    </row>
    <row r="25" spans="2:3" x14ac:dyDescent="0.25">
      <c r="B25" s="112">
        <v>406459340692</v>
      </c>
      <c r="C25" s="115">
        <v>5258500042709</v>
      </c>
    </row>
    <row r="26" spans="2:3" x14ac:dyDescent="0.25">
      <c r="B26" s="112">
        <v>425758619194</v>
      </c>
      <c r="C26" s="115">
        <v>4864840390838</v>
      </c>
    </row>
    <row r="27" spans="2:3" x14ac:dyDescent="0.25">
      <c r="B27" s="112">
        <v>572768569186</v>
      </c>
      <c r="C27" s="115">
        <v>2174328283182</v>
      </c>
    </row>
    <row r="28" spans="2:3" x14ac:dyDescent="0.25">
      <c r="B28" s="112">
        <v>710402439070</v>
      </c>
      <c r="C28" s="115">
        <v>4180631939627</v>
      </c>
    </row>
    <row r="29" spans="2:3" x14ac:dyDescent="0.25">
      <c r="B29" s="112">
        <v>728198172088</v>
      </c>
      <c r="C29" s="115">
        <v>2702973887296</v>
      </c>
    </row>
    <row r="30" spans="2:3" x14ac:dyDescent="0.25">
      <c r="B30" s="112">
        <v>774344066600</v>
      </c>
      <c r="C30" s="115">
        <v>6525698898523</v>
      </c>
    </row>
    <row r="31" spans="2:3" x14ac:dyDescent="0.25">
      <c r="B31" s="112">
        <v>790187282490</v>
      </c>
      <c r="C31" s="115">
        <v>4234721705595</v>
      </c>
    </row>
    <row r="32" spans="2:3" x14ac:dyDescent="0.25">
      <c r="B32" s="112">
        <v>1021955936210</v>
      </c>
      <c r="C32" s="115">
        <v>1283613069367</v>
      </c>
    </row>
    <row r="33" spans="2:3" x14ac:dyDescent="0.25">
      <c r="B33" s="112">
        <v>1028894856071</v>
      </c>
      <c r="C33" s="115">
        <v>1531328482438</v>
      </c>
    </row>
    <row r="34" spans="2:3" x14ac:dyDescent="0.25">
      <c r="B34" s="112">
        <v>1034818593017</v>
      </c>
      <c r="C34" s="115">
        <v>270717315727</v>
      </c>
    </row>
    <row r="35" spans="2:3" x14ac:dyDescent="0.25">
      <c r="B35" s="112">
        <v>1115957300040</v>
      </c>
      <c r="C35" s="115">
        <v>9535995743023</v>
      </c>
    </row>
    <row r="36" spans="2:3" x14ac:dyDescent="0.25">
      <c r="B36" s="112">
        <v>1152765224575</v>
      </c>
      <c r="C36" s="115">
        <v>6734334293502</v>
      </c>
    </row>
    <row r="37" spans="2:3" x14ac:dyDescent="0.25">
      <c r="B37" s="112">
        <v>1172338891587</v>
      </c>
      <c r="C37" s="115">
        <v>9407305057761</v>
      </c>
    </row>
    <row r="38" spans="2:3" x14ac:dyDescent="0.25">
      <c r="B38" s="112">
        <v>1178587616136</v>
      </c>
      <c r="C38" s="115">
        <v>743901112796</v>
      </c>
    </row>
    <row r="39" spans="2:3" x14ac:dyDescent="0.25">
      <c r="B39" s="112">
        <v>1223361942487</v>
      </c>
      <c r="C39" s="115">
        <v>9229762987698</v>
      </c>
    </row>
    <row r="40" spans="2:3" x14ac:dyDescent="0.25">
      <c r="B40" s="112">
        <v>1244498983670</v>
      </c>
      <c r="C40" s="115">
        <v>2404977918272</v>
      </c>
    </row>
    <row r="41" spans="2:3" x14ac:dyDescent="0.25">
      <c r="B41" s="112">
        <v>1370518945140</v>
      </c>
      <c r="C41" s="115">
        <v>4413030543943</v>
      </c>
    </row>
    <row r="42" spans="2:3" x14ac:dyDescent="0.25">
      <c r="B42" s="112">
        <v>1403615874934</v>
      </c>
      <c r="C42" s="115">
        <v>621393579173</v>
      </c>
    </row>
    <row r="43" spans="2:3" x14ac:dyDescent="0.25">
      <c r="B43" s="112">
        <v>1414572123644</v>
      </c>
      <c r="C43" s="115">
        <v>4901960739641</v>
      </c>
    </row>
    <row r="44" spans="2:3" x14ac:dyDescent="0.25">
      <c r="B44" s="112">
        <v>1418105300137</v>
      </c>
      <c r="C44" s="115">
        <v>8986581924296</v>
      </c>
    </row>
    <row r="45" spans="2:3" x14ac:dyDescent="0.25">
      <c r="B45" s="112">
        <v>1466478485862</v>
      </c>
      <c r="C45" s="115">
        <v>5982714785899</v>
      </c>
    </row>
    <row r="46" spans="2:3" x14ac:dyDescent="0.25">
      <c r="B46" s="112">
        <v>1472475231745</v>
      </c>
      <c r="C46" s="115">
        <v>8401538344321</v>
      </c>
    </row>
    <row r="47" spans="2:3" x14ac:dyDescent="0.25">
      <c r="B47" s="112">
        <v>1802920486990</v>
      </c>
      <c r="C47" s="115">
        <v>5551529761220</v>
      </c>
    </row>
    <row r="48" spans="2:3" x14ac:dyDescent="0.25">
      <c r="B48" s="112">
        <v>1818944705419</v>
      </c>
      <c r="C48" s="115">
        <v>4256941247789</v>
      </c>
    </row>
    <row r="49" spans="2:3" x14ac:dyDescent="0.25">
      <c r="B49" s="112">
        <v>1858102659628</v>
      </c>
      <c r="C49" s="115">
        <v>4554099340253</v>
      </c>
    </row>
    <row r="50" spans="2:3" x14ac:dyDescent="0.25">
      <c r="B50" s="112">
        <v>1878942154527</v>
      </c>
      <c r="C50" s="115">
        <v>8076530927158</v>
      </c>
    </row>
    <row r="51" spans="2:3" x14ac:dyDescent="0.25">
      <c r="B51" s="112">
        <v>1884695827338</v>
      </c>
      <c r="C51" s="115">
        <v>9535724156791</v>
      </c>
    </row>
    <row r="52" spans="2:3" x14ac:dyDescent="0.25">
      <c r="B52" s="112">
        <v>1930378394663</v>
      </c>
      <c r="C52" s="115">
        <v>7793235010993</v>
      </c>
    </row>
    <row r="53" spans="2:3" x14ac:dyDescent="0.25">
      <c r="B53" s="112">
        <v>1935897057967</v>
      </c>
      <c r="C53" s="115">
        <v>9640227887158</v>
      </c>
    </row>
    <row r="54" spans="2:3" x14ac:dyDescent="0.25">
      <c r="B54" s="112">
        <v>2045447340606</v>
      </c>
      <c r="C54" s="115">
        <v>3201541662427</v>
      </c>
    </row>
    <row r="55" spans="2:3" x14ac:dyDescent="0.25">
      <c r="B55" s="112">
        <v>2049597097876</v>
      </c>
      <c r="C55" s="115">
        <v>9030248175778</v>
      </c>
    </row>
    <row r="56" spans="2:3" x14ac:dyDescent="0.25">
      <c r="B56" s="112">
        <v>2059456166738</v>
      </c>
      <c r="C56" s="115">
        <v>5827726596417</v>
      </c>
    </row>
    <row r="57" spans="2:3" x14ac:dyDescent="0.25">
      <c r="B57" s="112">
        <v>2104031201203</v>
      </c>
      <c r="C57" s="115">
        <v>7420565347701</v>
      </c>
    </row>
    <row r="58" spans="2:3" x14ac:dyDescent="0.25">
      <c r="B58" s="112">
        <v>2340301169467</v>
      </c>
      <c r="C58" s="115">
        <v>9376663410638</v>
      </c>
    </row>
    <row r="59" spans="2:3" x14ac:dyDescent="0.25">
      <c r="B59" s="112">
        <v>2414957129554</v>
      </c>
      <c r="C59" s="115">
        <v>7377314413871</v>
      </c>
    </row>
    <row r="60" spans="2:3" x14ac:dyDescent="0.25">
      <c r="B60" s="112">
        <v>2461396981171</v>
      </c>
      <c r="C60" s="115">
        <v>8110899662179</v>
      </c>
    </row>
    <row r="61" spans="2:3" x14ac:dyDescent="0.25">
      <c r="B61" s="112">
        <v>2496719972396</v>
      </c>
      <c r="C61" s="115">
        <v>5173117424643</v>
      </c>
    </row>
    <row r="62" spans="2:3" x14ac:dyDescent="0.25">
      <c r="B62" s="112">
        <v>2516520692221</v>
      </c>
      <c r="C62" s="115">
        <v>20855210016</v>
      </c>
    </row>
    <row r="63" spans="2:3" x14ac:dyDescent="0.25">
      <c r="B63" s="112">
        <v>2645813787585</v>
      </c>
      <c r="C63" s="115">
        <v>7961697877809</v>
      </c>
    </row>
    <row r="64" spans="2:3" x14ac:dyDescent="0.25">
      <c r="B64" s="112">
        <v>2651722963790</v>
      </c>
      <c r="C64" s="115">
        <v>8420307885533</v>
      </c>
    </row>
    <row r="65" spans="2:3" x14ac:dyDescent="0.25">
      <c r="B65" s="112">
        <v>2706203067308</v>
      </c>
      <c r="C65" s="115">
        <v>4677557396674</v>
      </c>
    </row>
    <row r="66" spans="2:3" x14ac:dyDescent="0.25">
      <c r="B66" s="112">
        <v>2761566666568</v>
      </c>
      <c r="C66" s="115">
        <v>8580779407851</v>
      </c>
    </row>
    <row r="67" spans="2:3" x14ac:dyDescent="0.25">
      <c r="B67" s="112">
        <v>2896547980089</v>
      </c>
      <c r="C67" s="115">
        <v>5181442270142</v>
      </c>
    </row>
    <row r="68" spans="2:3" x14ac:dyDescent="0.25">
      <c r="B68" s="112">
        <v>2907714166823</v>
      </c>
      <c r="C68" s="115">
        <v>7240336976220</v>
      </c>
    </row>
    <row r="69" spans="2:3" x14ac:dyDescent="0.25">
      <c r="B69" s="112">
        <v>2928593710651</v>
      </c>
      <c r="C69" s="115">
        <v>8069946599270</v>
      </c>
    </row>
    <row r="70" spans="2:3" x14ac:dyDescent="0.25">
      <c r="B70" s="112">
        <v>3001153107028</v>
      </c>
      <c r="C70" s="115">
        <v>894486871393</v>
      </c>
    </row>
    <row r="71" spans="2:3" x14ac:dyDescent="0.25">
      <c r="B71" s="112">
        <v>3027315045484</v>
      </c>
      <c r="C71" s="115">
        <v>2730489268861</v>
      </c>
    </row>
    <row r="72" spans="2:3" x14ac:dyDescent="0.25">
      <c r="B72" s="112">
        <v>3063585845596</v>
      </c>
      <c r="C72" s="115">
        <v>8826589893167</v>
      </c>
    </row>
    <row r="73" spans="2:3" x14ac:dyDescent="0.25">
      <c r="B73" s="112">
        <v>3070473991195</v>
      </c>
      <c r="C73" s="115">
        <v>465262953788</v>
      </c>
    </row>
    <row r="74" spans="2:3" x14ac:dyDescent="0.25">
      <c r="B74" s="112">
        <v>3144744296480</v>
      </c>
      <c r="C74" s="115">
        <v>4819173390642</v>
      </c>
    </row>
    <row r="75" spans="2:3" x14ac:dyDescent="0.25">
      <c r="B75" s="112">
        <v>3158707712316</v>
      </c>
      <c r="C75" s="115">
        <v>8420534827718</v>
      </c>
    </row>
    <row r="76" spans="2:3" x14ac:dyDescent="0.25">
      <c r="B76" s="112">
        <v>3159283210457</v>
      </c>
      <c r="C76" s="115">
        <v>2649157781171</v>
      </c>
    </row>
    <row r="77" spans="2:3" x14ac:dyDescent="0.25">
      <c r="B77" s="112">
        <v>3284226190144</v>
      </c>
      <c r="C77" s="115">
        <v>3404093898889</v>
      </c>
    </row>
    <row r="78" spans="2:3" x14ac:dyDescent="0.25">
      <c r="B78" s="112">
        <v>3303621111612</v>
      </c>
      <c r="C78" s="115">
        <v>828048671167</v>
      </c>
    </row>
    <row r="79" spans="2:3" x14ac:dyDescent="0.25">
      <c r="B79" s="112">
        <v>3402532586478</v>
      </c>
      <c r="C79" s="115">
        <v>2421150014857</v>
      </c>
    </row>
    <row r="80" spans="2:3" x14ac:dyDescent="0.25">
      <c r="B80" s="112">
        <v>3610761223824</v>
      </c>
      <c r="C80" s="115">
        <v>1115012886632</v>
      </c>
    </row>
    <row r="81" spans="2:3" x14ac:dyDescent="0.25">
      <c r="B81" s="112">
        <v>3627109001160</v>
      </c>
      <c r="C81" s="115">
        <v>1203713712273</v>
      </c>
    </row>
    <row r="82" spans="2:3" x14ac:dyDescent="0.25">
      <c r="B82" s="112">
        <v>3656661218736</v>
      </c>
      <c r="C82" s="115">
        <v>2505026014978</v>
      </c>
    </row>
    <row r="83" spans="2:3" x14ac:dyDescent="0.25">
      <c r="B83" s="112">
        <v>3710590012115</v>
      </c>
      <c r="C83" s="115">
        <v>3128449429255</v>
      </c>
    </row>
    <row r="84" spans="2:3" x14ac:dyDescent="0.25">
      <c r="B84" s="112">
        <v>3854655281888</v>
      </c>
      <c r="C84" s="115">
        <v>188728786499</v>
      </c>
    </row>
    <row r="85" spans="2:3" x14ac:dyDescent="0.25">
      <c r="B85" s="112">
        <v>3919310604657</v>
      </c>
      <c r="C85" s="115">
        <v>1890522650692</v>
      </c>
    </row>
    <row r="86" spans="2:3" x14ac:dyDescent="0.25">
      <c r="B86" s="112">
        <v>3932868703475</v>
      </c>
      <c r="C86" s="115">
        <v>8947996495300</v>
      </c>
    </row>
    <row r="87" spans="2:3" x14ac:dyDescent="0.25">
      <c r="B87" s="112">
        <v>4043325067933</v>
      </c>
      <c r="C87" s="115">
        <v>3834609108469</v>
      </c>
    </row>
    <row r="88" spans="2:3" x14ac:dyDescent="0.25">
      <c r="B88" s="112">
        <v>4107548593050</v>
      </c>
      <c r="C88" s="115">
        <v>3361464361675</v>
      </c>
    </row>
    <row r="89" spans="2:3" x14ac:dyDescent="0.25">
      <c r="B89" s="112">
        <v>4189911834117</v>
      </c>
      <c r="C89" s="115">
        <v>5138979599764</v>
      </c>
    </row>
    <row r="90" spans="2:3" x14ac:dyDescent="0.25">
      <c r="B90" s="112">
        <v>4215551071970</v>
      </c>
      <c r="C90" s="115">
        <v>9961254092027</v>
      </c>
    </row>
    <row r="91" spans="2:3" x14ac:dyDescent="0.25">
      <c r="B91" s="112">
        <v>4241188090370</v>
      </c>
      <c r="C91" s="115">
        <v>9837080966540</v>
      </c>
    </row>
    <row r="92" spans="2:3" x14ac:dyDescent="0.25">
      <c r="B92" s="112">
        <v>4272424727467</v>
      </c>
      <c r="C92" s="115">
        <v>4682706296616</v>
      </c>
    </row>
    <row r="93" spans="2:3" x14ac:dyDescent="0.25">
      <c r="B93" s="112">
        <v>4339242279185</v>
      </c>
      <c r="C93" s="115">
        <v>760111684863</v>
      </c>
    </row>
    <row r="94" spans="2:3" x14ac:dyDescent="0.25">
      <c r="B94" s="112">
        <v>4342058761360</v>
      </c>
      <c r="C94" s="115">
        <v>2045643822326</v>
      </c>
    </row>
    <row r="95" spans="2:3" x14ac:dyDescent="0.25">
      <c r="B95" s="112">
        <v>4357053479707</v>
      </c>
      <c r="C95" s="115">
        <v>1117563062028</v>
      </c>
    </row>
    <row r="96" spans="2:3" x14ac:dyDescent="0.25">
      <c r="B96" s="112">
        <v>4365558568479</v>
      </c>
      <c r="C96" s="115">
        <v>6462699104242</v>
      </c>
    </row>
    <row r="97" spans="2:3" x14ac:dyDescent="0.25">
      <c r="B97" s="112">
        <v>4401677839476</v>
      </c>
      <c r="C97" s="115">
        <v>5607185881479</v>
      </c>
    </row>
    <row r="98" spans="2:3" x14ac:dyDescent="0.25">
      <c r="B98" s="112">
        <v>4409938999450</v>
      </c>
      <c r="C98" s="115">
        <v>1829523118217</v>
      </c>
    </row>
    <row r="99" spans="2:3" x14ac:dyDescent="0.25">
      <c r="B99" s="112">
        <v>4440396568774</v>
      </c>
      <c r="C99" s="115">
        <v>564203097904</v>
      </c>
    </row>
    <row r="100" spans="2:3" x14ac:dyDescent="0.25">
      <c r="B100" s="112">
        <v>4455035557356</v>
      </c>
      <c r="C100" s="115">
        <v>1918271736966</v>
      </c>
    </row>
    <row r="101" spans="2:3" x14ac:dyDescent="0.25">
      <c r="B101" s="112">
        <v>4460388546934</v>
      </c>
      <c r="C101" s="115">
        <v>4242508978656</v>
      </c>
    </row>
    <row r="102" spans="2:3" x14ac:dyDescent="0.25">
      <c r="B102" s="112">
        <v>4513654436713</v>
      </c>
      <c r="C102" s="115">
        <v>8902788126416</v>
      </c>
    </row>
    <row r="103" spans="2:3" x14ac:dyDescent="0.25">
      <c r="B103" s="112">
        <v>4559259483578</v>
      </c>
      <c r="C103" s="115">
        <v>478827647612</v>
      </c>
    </row>
    <row r="104" spans="2:3" x14ac:dyDescent="0.25">
      <c r="B104" s="112">
        <v>4796784999821</v>
      </c>
      <c r="C104" s="115">
        <v>5489169012166</v>
      </c>
    </row>
    <row r="105" spans="2:3" x14ac:dyDescent="0.25">
      <c r="B105" s="112">
        <v>4840071738697</v>
      </c>
      <c r="C105" s="115">
        <v>8667357183627</v>
      </c>
    </row>
    <row r="106" spans="2:3" x14ac:dyDescent="0.25">
      <c r="B106" s="112">
        <v>4993707453110</v>
      </c>
      <c r="C106" s="115">
        <v>1980703843234</v>
      </c>
    </row>
    <row r="107" spans="2:3" x14ac:dyDescent="0.25">
      <c r="B107" s="112">
        <v>5017351647490</v>
      </c>
      <c r="C107" s="115">
        <v>749843328970</v>
      </c>
    </row>
    <row r="108" spans="2:3" x14ac:dyDescent="0.25">
      <c r="B108" s="112">
        <v>5186538207336</v>
      </c>
      <c r="C108" s="115">
        <v>1013579288234</v>
      </c>
    </row>
    <row r="109" spans="2:3" x14ac:dyDescent="0.25">
      <c r="B109" s="112">
        <v>5200970221676</v>
      </c>
      <c r="C109" s="115">
        <v>3150973743905</v>
      </c>
    </row>
    <row r="110" spans="2:3" x14ac:dyDescent="0.25">
      <c r="B110" s="112">
        <v>5231502919033</v>
      </c>
      <c r="C110" s="115">
        <v>5854523868093</v>
      </c>
    </row>
    <row r="111" spans="2:3" x14ac:dyDescent="0.25">
      <c r="B111" s="112">
        <v>5244546955458</v>
      </c>
      <c r="C111" s="115">
        <v>5601676090034</v>
      </c>
    </row>
    <row r="112" spans="2:3" x14ac:dyDescent="0.25">
      <c r="B112" s="112">
        <v>5417968791679</v>
      </c>
      <c r="C112" s="115">
        <v>7064382869743</v>
      </c>
    </row>
    <row r="113" spans="2:3" x14ac:dyDescent="0.25">
      <c r="B113" s="112">
        <v>5535213030852</v>
      </c>
      <c r="C113" s="115">
        <v>1736631812572</v>
      </c>
    </row>
    <row r="114" spans="2:3" x14ac:dyDescent="0.25">
      <c r="B114" s="112">
        <v>5540571504313</v>
      </c>
      <c r="C114" s="115">
        <v>5634958068230</v>
      </c>
    </row>
    <row r="115" spans="2:3" x14ac:dyDescent="0.25">
      <c r="B115" s="112">
        <v>5566062269864</v>
      </c>
      <c r="C115" s="115">
        <v>63742888466</v>
      </c>
    </row>
    <row r="116" spans="2:3" x14ac:dyDescent="0.25">
      <c r="B116" s="112">
        <v>5574949370281</v>
      </c>
      <c r="C116" s="115">
        <v>6245233787081</v>
      </c>
    </row>
    <row r="117" spans="2:3" x14ac:dyDescent="0.25">
      <c r="B117" s="112">
        <v>5772559976820</v>
      </c>
      <c r="C117" s="115">
        <v>9179885062934</v>
      </c>
    </row>
    <row r="118" spans="2:3" x14ac:dyDescent="0.25">
      <c r="B118" s="112">
        <v>5810098024630</v>
      </c>
      <c r="C118" s="115">
        <v>7164605397265</v>
      </c>
    </row>
    <row r="119" spans="2:3" x14ac:dyDescent="0.25">
      <c r="B119" s="112">
        <v>5884211223941</v>
      </c>
      <c r="C119" s="115">
        <v>4114237994926</v>
      </c>
    </row>
    <row r="120" spans="2:3" x14ac:dyDescent="0.25">
      <c r="B120" s="112">
        <v>5886656809470</v>
      </c>
      <c r="C120" s="115">
        <v>2802905659169</v>
      </c>
    </row>
    <row r="121" spans="2:3" x14ac:dyDescent="0.25">
      <c r="B121" s="112">
        <v>5939800897349</v>
      </c>
      <c r="C121" s="115">
        <v>1422000631942</v>
      </c>
    </row>
    <row r="122" spans="2:3" x14ac:dyDescent="0.25">
      <c r="B122" s="112">
        <v>5974218482985</v>
      </c>
      <c r="C122" s="115">
        <v>962028754726</v>
      </c>
    </row>
    <row r="123" spans="2:3" x14ac:dyDescent="0.25">
      <c r="B123" s="112">
        <v>5996557189622</v>
      </c>
      <c r="C123" s="115">
        <v>7252410787577</v>
      </c>
    </row>
    <row r="124" spans="2:3" x14ac:dyDescent="0.25">
      <c r="B124" s="112">
        <v>6013980695643</v>
      </c>
      <c r="C124" s="115">
        <v>7382624128775</v>
      </c>
    </row>
    <row r="125" spans="2:3" x14ac:dyDescent="0.25">
      <c r="B125" s="112">
        <v>6159478950612</v>
      </c>
      <c r="C125" s="115">
        <v>8013401893925</v>
      </c>
    </row>
    <row r="126" spans="2:3" x14ac:dyDescent="0.25">
      <c r="B126" s="112">
        <v>6159868591506</v>
      </c>
      <c r="C126" s="115">
        <v>7575364506569</v>
      </c>
    </row>
    <row r="127" spans="2:3" x14ac:dyDescent="0.25">
      <c r="B127" s="112">
        <v>6238880645861</v>
      </c>
      <c r="C127" s="115">
        <v>8516091092233</v>
      </c>
    </row>
    <row r="128" spans="2:3" x14ac:dyDescent="0.25">
      <c r="B128" s="112">
        <v>6251411478624</v>
      </c>
      <c r="C128" s="115">
        <v>3047150020749</v>
      </c>
    </row>
    <row r="129" spans="2:3" x14ac:dyDescent="0.25">
      <c r="B129" s="112">
        <v>6287901912831</v>
      </c>
      <c r="C129" s="115">
        <v>4272859303046</v>
      </c>
    </row>
    <row r="130" spans="2:3" x14ac:dyDescent="0.25">
      <c r="B130" s="112">
        <v>6598630432710</v>
      </c>
      <c r="C130" s="115">
        <v>5148723065338</v>
      </c>
    </row>
    <row r="131" spans="2:3" x14ac:dyDescent="0.25">
      <c r="B131" s="112">
        <v>6626789744492</v>
      </c>
      <c r="C131" s="115">
        <v>2950938722111</v>
      </c>
    </row>
    <row r="132" spans="2:3" x14ac:dyDescent="0.25">
      <c r="B132" s="112">
        <v>6647450423328</v>
      </c>
      <c r="C132" s="115">
        <v>5521977387673</v>
      </c>
    </row>
    <row r="133" spans="2:3" x14ac:dyDescent="0.25">
      <c r="B133" s="112">
        <v>6691246459645</v>
      </c>
      <c r="C133" s="115">
        <v>4491845382783</v>
      </c>
    </row>
    <row r="134" spans="2:3" x14ac:dyDescent="0.25">
      <c r="B134" s="112">
        <v>6741332902567</v>
      </c>
      <c r="C134" s="115">
        <v>167012434961</v>
      </c>
    </row>
    <row r="135" spans="2:3" x14ac:dyDescent="0.25">
      <c r="B135" s="112">
        <v>6779251205854</v>
      </c>
      <c r="C135" s="115">
        <v>7856654695180</v>
      </c>
    </row>
    <row r="136" spans="2:3" x14ac:dyDescent="0.25">
      <c r="B136" s="112">
        <v>6779632889321</v>
      </c>
      <c r="C136" s="115">
        <v>2701306472314</v>
      </c>
    </row>
    <row r="137" spans="2:3" x14ac:dyDescent="0.25">
      <c r="B137" s="112">
        <v>6828346763771</v>
      </c>
      <c r="C137" s="115">
        <v>831835877201</v>
      </c>
    </row>
    <row r="138" spans="2:3" x14ac:dyDescent="0.25">
      <c r="B138" s="112">
        <v>6887561501743</v>
      </c>
      <c r="C138" s="115">
        <v>4991131646250</v>
      </c>
    </row>
    <row r="139" spans="2:3" x14ac:dyDescent="0.25">
      <c r="B139" s="112">
        <v>7187129854717</v>
      </c>
      <c r="C139" s="115">
        <v>3410804770219</v>
      </c>
    </row>
    <row r="140" spans="2:3" x14ac:dyDescent="0.25">
      <c r="B140" s="112">
        <v>7236560837279</v>
      </c>
      <c r="C140" s="115">
        <v>401211501431</v>
      </c>
    </row>
    <row r="141" spans="2:3" x14ac:dyDescent="0.25">
      <c r="B141" s="112">
        <v>7256683732275</v>
      </c>
      <c r="C141" s="115">
        <v>7458673231471</v>
      </c>
    </row>
    <row r="142" spans="2:3" x14ac:dyDescent="0.25">
      <c r="B142" s="112">
        <v>7334825064249</v>
      </c>
      <c r="C142" s="115">
        <v>7586794035748</v>
      </c>
    </row>
    <row r="143" spans="2:3" x14ac:dyDescent="0.25">
      <c r="B143" s="112">
        <v>7377766021274</v>
      </c>
      <c r="C143" s="115">
        <v>1016914903704</v>
      </c>
    </row>
    <row r="144" spans="2:3" x14ac:dyDescent="0.25">
      <c r="B144" s="112">
        <v>7398823211158</v>
      </c>
      <c r="C144" s="115">
        <v>7670642162301</v>
      </c>
    </row>
    <row r="145" spans="2:3" x14ac:dyDescent="0.25">
      <c r="B145" s="112">
        <v>7477923256421</v>
      </c>
      <c r="C145" s="115">
        <v>8415574120173</v>
      </c>
    </row>
    <row r="146" spans="2:3" x14ac:dyDescent="0.25">
      <c r="B146" s="112">
        <v>7549579787546</v>
      </c>
      <c r="C146" s="115">
        <v>9373459852462</v>
      </c>
    </row>
    <row r="147" spans="2:3" x14ac:dyDescent="0.25">
      <c r="B147" s="112">
        <v>7574237063346</v>
      </c>
      <c r="C147" s="115">
        <v>7365094770453</v>
      </c>
    </row>
    <row r="148" spans="2:3" x14ac:dyDescent="0.25">
      <c r="B148" s="112">
        <v>7643562468681</v>
      </c>
      <c r="C148" s="115">
        <v>8918889075625</v>
      </c>
    </row>
    <row r="149" spans="2:3" x14ac:dyDescent="0.25">
      <c r="B149" s="112">
        <v>7660725470058</v>
      </c>
      <c r="C149" s="115">
        <v>510264073365</v>
      </c>
    </row>
    <row r="150" spans="2:3" x14ac:dyDescent="0.25">
      <c r="B150" s="112">
        <v>7670392949604</v>
      </c>
      <c r="C150" s="115">
        <v>8915190772979</v>
      </c>
    </row>
    <row r="151" spans="2:3" x14ac:dyDescent="0.25">
      <c r="B151" s="112">
        <v>7680753978280</v>
      </c>
      <c r="C151" s="115">
        <v>202770050547</v>
      </c>
    </row>
    <row r="152" spans="2:3" x14ac:dyDescent="0.25">
      <c r="B152" s="112">
        <v>7707654706459</v>
      </c>
      <c r="C152" s="115">
        <v>43021618409</v>
      </c>
    </row>
    <row r="153" spans="2:3" x14ac:dyDescent="0.25">
      <c r="B153" s="112">
        <v>7758516629591</v>
      </c>
      <c r="C153" s="115">
        <v>5910273287477</v>
      </c>
    </row>
    <row r="154" spans="2:3" x14ac:dyDescent="0.25">
      <c r="B154" s="112">
        <v>7813742790622</v>
      </c>
      <c r="C154" s="115">
        <v>5628180588840</v>
      </c>
    </row>
    <row r="155" spans="2:3" x14ac:dyDescent="0.25">
      <c r="B155" s="112">
        <v>7855035426784</v>
      </c>
      <c r="C155" s="115">
        <v>3676628181370</v>
      </c>
    </row>
    <row r="156" spans="2:3" x14ac:dyDescent="0.25">
      <c r="B156" s="112">
        <v>7856937078357</v>
      </c>
      <c r="C156" s="115">
        <v>9087892430626</v>
      </c>
    </row>
    <row r="157" spans="2:3" x14ac:dyDescent="0.25">
      <c r="B157" s="112">
        <v>7916907136685</v>
      </c>
      <c r="C157" s="115">
        <v>5863740395247</v>
      </c>
    </row>
    <row r="158" spans="2:3" x14ac:dyDescent="0.25">
      <c r="B158" s="112">
        <v>8016969117143</v>
      </c>
      <c r="C158" s="115">
        <v>4334647027610</v>
      </c>
    </row>
    <row r="159" spans="2:3" x14ac:dyDescent="0.25">
      <c r="B159" s="112">
        <v>8053788873692</v>
      </c>
      <c r="C159" s="115">
        <v>6668065419969</v>
      </c>
    </row>
    <row r="160" spans="2:3" x14ac:dyDescent="0.25">
      <c r="B160" s="112">
        <v>8083445868242</v>
      </c>
      <c r="C160" s="115">
        <v>427556358235</v>
      </c>
    </row>
    <row r="161" spans="2:3" x14ac:dyDescent="0.25">
      <c r="B161" s="112">
        <v>8146377905796</v>
      </c>
      <c r="C161" s="115">
        <v>4404466904967</v>
      </c>
    </row>
    <row r="162" spans="2:3" x14ac:dyDescent="0.25">
      <c r="B162" s="112">
        <v>8298242953866</v>
      </c>
      <c r="C162" s="115">
        <v>8510444844696</v>
      </c>
    </row>
    <row r="163" spans="2:3" x14ac:dyDescent="0.25">
      <c r="B163" s="112">
        <v>8338064065217</v>
      </c>
      <c r="C163" s="115">
        <v>1907747195045</v>
      </c>
    </row>
    <row r="164" spans="2:3" x14ac:dyDescent="0.25">
      <c r="B164" s="112">
        <v>8356796078025</v>
      </c>
      <c r="C164" s="115">
        <v>7361931635384</v>
      </c>
    </row>
    <row r="165" spans="2:3" x14ac:dyDescent="0.25">
      <c r="B165" s="112">
        <v>8399247899628</v>
      </c>
      <c r="C165" s="115">
        <v>378046072549</v>
      </c>
    </row>
    <row r="166" spans="2:3" x14ac:dyDescent="0.25">
      <c r="B166" s="112">
        <v>8439166003548</v>
      </c>
      <c r="C166" s="115">
        <v>7630611411089</v>
      </c>
    </row>
    <row r="167" spans="2:3" x14ac:dyDescent="0.25">
      <c r="B167" s="112">
        <v>8475932585369</v>
      </c>
      <c r="C167" s="115">
        <v>8210972392663</v>
      </c>
    </row>
    <row r="168" spans="2:3" x14ac:dyDescent="0.25">
      <c r="B168" s="112">
        <v>8611680205010</v>
      </c>
      <c r="C168" s="115">
        <v>5682240960533</v>
      </c>
    </row>
    <row r="169" spans="2:3" x14ac:dyDescent="0.25">
      <c r="B169" s="112">
        <v>8628055539612</v>
      </c>
      <c r="C169" s="115">
        <v>7909560449408</v>
      </c>
    </row>
    <row r="170" spans="2:3" x14ac:dyDescent="0.25">
      <c r="B170" s="112">
        <v>8676349947448</v>
      </c>
      <c r="C170" s="115">
        <v>2568589200850</v>
      </c>
    </row>
    <row r="171" spans="2:3" x14ac:dyDescent="0.25">
      <c r="B171" s="112">
        <v>8679379270729</v>
      </c>
      <c r="C171" s="115">
        <v>6236701834106</v>
      </c>
    </row>
    <row r="172" spans="2:3" x14ac:dyDescent="0.25">
      <c r="B172" s="112">
        <v>8693915270986</v>
      </c>
      <c r="C172" s="115">
        <v>2803678435171</v>
      </c>
    </row>
    <row r="173" spans="2:3" x14ac:dyDescent="0.25">
      <c r="B173" s="112">
        <v>8794028889147</v>
      </c>
      <c r="C173" s="115">
        <v>4602064766296</v>
      </c>
    </row>
    <row r="174" spans="2:3" x14ac:dyDescent="0.25">
      <c r="B174" s="112">
        <v>8799241542009</v>
      </c>
      <c r="C174" s="115">
        <v>1046014002013</v>
      </c>
    </row>
    <row r="175" spans="2:3" x14ac:dyDescent="0.25">
      <c r="B175" s="112">
        <v>8837760517031</v>
      </c>
      <c r="C175" s="115">
        <v>8357303539696</v>
      </c>
    </row>
    <row r="176" spans="2:3" x14ac:dyDescent="0.25">
      <c r="B176" s="112">
        <v>8852778860038</v>
      </c>
      <c r="C176" s="115">
        <v>3266676699040</v>
      </c>
    </row>
    <row r="177" spans="2:3" x14ac:dyDescent="0.25">
      <c r="B177" s="112">
        <v>8862983154461</v>
      </c>
      <c r="C177" s="115">
        <v>9617447054308</v>
      </c>
    </row>
    <row r="178" spans="2:3" x14ac:dyDescent="0.25">
      <c r="B178" s="112">
        <v>8864577382768</v>
      </c>
      <c r="C178" s="115">
        <v>6019674509593</v>
      </c>
    </row>
    <row r="179" spans="2:3" x14ac:dyDescent="0.25">
      <c r="B179" s="112">
        <v>8896391280789</v>
      </c>
      <c r="C179" s="115">
        <v>2405227239542</v>
      </c>
    </row>
    <row r="180" spans="2:3" x14ac:dyDescent="0.25">
      <c r="B180" s="112">
        <v>8907728417089</v>
      </c>
      <c r="C180" s="115">
        <v>9423327850032</v>
      </c>
    </row>
    <row r="181" spans="2:3" x14ac:dyDescent="0.25">
      <c r="B181" s="112">
        <v>8992487653552</v>
      </c>
      <c r="C181" s="115">
        <v>9101349091397</v>
      </c>
    </row>
    <row r="182" spans="2:3" x14ac:dyDescent="0.25">
      <c r="B182" s="112">
        <v>8998948530409</v>
      </c>
      <c r="C182" s="115">
        <v>2931516103326</v>
      </c>
    </row>
    <row r="183" spans="2:3" x14ac:dyDescent="0.25">
      <c r="B183" s="112">
        <v>9097716195028</v>
      </c>
      <c r="C183" s="115">
        <v>7897465957782</v>
      </c>
    </row>
    <row r="184" spans="2:3" x14ac:dyDescent="0.25">
      <c r="B184" s="112">
        <v>9103043747869</v>
      </c>
      <c r="C184" s="115">
        <v>2219687293833</v>
      </c>
    </row>
    <row r="185" spans="2:3" x14ac:dyDescent="0.25">
      <c r="B185" s="112">
        <v>9142229412566</v>
      </c>
      <c r="C185" s="115">
        <v>8849472531307</v>
      </c>
    </row>
    <row r="186" spans="2:3" x14ac:dyDescent="0.25">
      <c r="B186" s="112">
        <v>9190627849379</v>
      </c>
      <c r="C186" s="115">
        <v>6281682535686</v>
      </c>
    </row>
    <row r="187" spans="2:3" x14ac:dyDescent="0.25">
      <c r="B187" s="112">
        <v>9192882246989</v>
      </c>
      <c r="C187" s="115">
        <v>6208962934729</v>
      </c>
    </row>
    <row r="188" spans="2:3" x14ac:dyDescent="0.25">
      <c r="B188" s="112">
        <v>9225116460295</v>
      </c>
      <c r="C188" s="115">
        <v>3096584661486</v>
      </c>
    </row>
    <row r="189" spans="2:3" x14ac:dyDescent="0.25">
      <c r="B189" s="112">
        <v>9241729105269</v>
      </c>
      <c r="C189" s="115">
        <v>4715458812003</v>
      </c>
    </row>
    <row r="190" spans="2:3" x14ac:dyDescent="0.25">
      <c r="B190" s="112">
        <v>9260810253245</v>
      </c>
      <c r="C190" s="115">
        <v>6695862022945</v>
      </c>
    </row>
    <row r="191" spans="2:3" x14ac:dyDescent="0.25">
      <c r="B191" s="112">
        <v>9309133075667</v>
      </c>
      <c r="C191" s="115">
        <v>2120458451149</v>
      </c>
    </row>
    <row r="192" spans="2:3" x14ac:dyDescent="0.25">
      <c r="B192" s="112">
        <v>9316481530345</v>
      </c>
      <c r="C192" s="115">
        <v>6058530634799</v>
      </c>
    </row>
    <row r="193" spans="2:3" x14ac:dyDescent="0.25">
      <c r="B193" s="112">
        <v>9356304965886</v>
      </c>
      <c r="C193" s="115">
        <v>9437116467524</v>
      </c>
    </row>
    <row r="194" spans="2:3" x14ac:dyDescent="0.25">
      <c r="B194" s="112">
        <v>9393350163761</v>
      </c>
      <c r="C194" s="115">
        <v>7489832460904</v>
      </c>
    </row>
    <row r="195" spans="2:3" x14ac:dyDescent="0.25">
      <c r="B195" s="112">
        <v>9472315075931</v>
      </c>
      <c r="C195" s="115">
        <v>6760871902240</v>
      </c>
    </row>
    <row r="196" spans="2:3" x14ac:dyDescent="0.25">
      <c r="B196" s="112">
        <v>9542202096052</v>
      </c>
      <c r="C196" s="115">
        <v>8722390258522</v>
      </c>
    </row>
    <row r="197" spans="2:3" x14ac:dyDescent="0.25">
      <c r="B197" s="112">
        <v>9552016441088</v>
      </c>
      <c r="C197" s="115">
        <v>275931681528</v>
      </c>
    </row>
    <row r="198" spans="2:3" x14ac:dyDescent="0.25">
      <c r="B198" s="112">
        <v>9693453195385</v>
      </c>
      <c r="C198" s="115">
        <v>5444571219313</v>
      </c>
    </row>
    <row r="199" spans="2:3" x14ac:dyDescent="0.25">
      <c r="B199" s="112">
        <v>9693499395965</v>
      </c>
      <c r="C199" s="115">
        <v>8195219972397</v>
      </c>
    </row>
    <row r="200" spans="2:3" x14ac:dyDescent="0.25">
      <c r="B200" s="112">
        <v>9847519477678</v>
      </c>
      <c r="C200" s="115">
        <v>7289398598463</v>
      </c>
    </row>
    <row r="201" spans="2:3" x14ac:dyDescent="0.25">
      <c r="B201" s="112">
        <v>9919336400135</v>
      </c>
      <c r="C201" s="115">
        <v>8933793913970</v>
      </c>
    </row>
    <row r="202" spans="2:3" x14ac:dyDescent="0.25">
      <c r="B202" s="112">
        <v>9938792706075</v>
      </c>
      <c r="C202" s="115">
        <v>2081997301421</v>
      </c>
    </row>
    <row r="203" spans="2:3" x14ac:dyDescent="0.25">
      <c r="B203" s="112">
        <v>9949997605121</v>
      </c>
      <c r="C203" s="115">
        <v>639129640565</v>
      </c>
    </row>
    <row r="204" spans="2:3" x14ac:dyDescent="0.25">
      <c r="B204" s="112">
        <v>9964564145503</v>
      </c>
      <c r="C204" s="115">
        <v>9662180432939</v>
      </c>
    </row>
    <row r="205" spans="2:3" x14ac:dyDescent="0.25">
      <c r="B205" s="112">
        <v>9973341233437</v>
      </c>
      <c r="C205" s="115">
        <v>4999585871940</v>
      </c>
    </row>
    <row r="206" spans="2:3" x14ac:dyDescent="0.25">
      <c r="B206" s="112">
        <v>9983954501239</v>
      </c>
      <c r="C206" s="115">
        <v>8838748171677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3"/>
  <dimension ref="A1:W79"/>
  <sheetViews>
    <sheetView topLeftCell="G56" zoomScaleNormal="100" workbookViewId="0">
      <selection activeCell="Q61" sqref="Q61:Q67"/>
    </sheetView>
  </sheetViews>
  <sheetFormatPr defaultRowHeight="15" x14ac:dyDescent="0.25"/>
  <cols>
    <col min="1" max="1" width="60.85546875" bestFit="1" customWidth="1" collapsed="1"/>
    <col min="2" max="2" width="9.140625" bestFit="1" customWidth="1" collapsed="1"/>
    <col min="3" max="3" width="8.140625" customWidth="1" collapsed="1"/>
    <col min="4" max="4" width="8" bestFit="1" customWidth="1" collapsed="1"/>
    <col min="19" max="19" width="10.7109375" bestFit="1" customWidth="1" collapsed="1"/>
    <col min="21" max="21" width="10.7109375" bestFit="1" customWidth="1" collapsed="1"/>
  </cols>
  <sheetData>
    <row r="1" spans="1:23" ht="15.75" thickBot="1" x14ac:dyDescent="0.3">
      <c r="A1" t="s">
        <v>41</v>
      </c>
      <c r="B1" s="43" t="s">
        <v>38</v>
      </c>
      <c r="C1" s="43" t="s">
        <v>40</v>
      </c>
      <c r="D1" s="43" t="s">
        <v>49</v>
      </c>
      <c r="E1" s="43" t="s">
        <v>50</v>
      </c>
      <c r="F1" s="43" t="s">
        <v>51</v>
      </c>
      <c r="G1" s="43" t="s">
        <v>52</v>
      </c>
      <c r="H1" s="43" t="s">
        <v>53</v>
      </c>
      <c r="I1" s="43" t="s">
        <v>54</v>
      </c>
      <c r="J1" s="43" t="s">
        <v>55</v>
      </c>
      <c r="K1" s="43" t="s">
        <v>56</v>
      </c>
      <c r="L1" s="43" t="s">
        <v>57</v>
      </c>
      <c r="M1" s="43" t="s">
        <v>58</v>
      </c>
      <c r="N1" s="43" t="s">
        <v>59</v>
      </c>
      <c r="O1" s="43" t="s">
        <v>60</v>
      </c>
      <c r="P1" s="43" t="s">
        <v>61</v>
      </c>
      <c r="Q1" s="43" t="s">
        <v>70</v>
      </c>
      <c r="R1" s="43" t="s">
        <v>71</v>
      </c>
      <c r="S1" s="43" t="s">
        <v>81</v>
      </c>
      <c r="T1" s="43" t="s">
        <v>82</v>
      </c>
    </row>
    <row r="2" spans="1:23" x14ac:dyDescent="0.25">
      <c r="A2" s="34" t="str">
        <f>'VAL1'!A1</f>
        <v>VAL1: Processo Não terminado com última mensagem a NotValidated</v>
      </c>
      <c r="B2" s="44" t="s">
        <v>23</v>
      </c>
      <c r="C2" s="10" t="s">
        <v>23</v>
      </c>
      <c r="D2" s="10" t="s">
        <v>23</v>
      </c>
      <c r="E2" s="10" t="s">
        <v>23</v>
      </c>
      <c r="F2" t="s">
        <v>23</v>
      </c>
      <c r="G2" t="s">
        <v>24</v>
      </c>
      <c r="H2" t="s">
        <v>23</v>
      </c>
      <c r="I2" t="s">
        <v>23</v>
      </c>
      <c r="J2" t="s">
        <v>23</v>
      </c>
      <c r="K2" t="s">
        <v>23</v>
      </c>
      <c r="L2" t="s">
        <v>23</v>
      </c>
      <c r="M2" t="s">
        <v>24</v>
      </c>
      <c r="N2" t="s">
        <v>23</v>
      </c>
      <c r="O2" t="s">
        <v>23</v>
      </c>
      <c r="P2" t="s">
        <v>23</v>
      </c>
      <c r="Q2" t="s">
        <v>24</v>
      </c>
      <c r="R2" t="s">
        <v>24</v>
      </c>
      <c r="S2" t="s">
        <v>24</v>
      </c>
      <c r="T2" t="s">
        <v>24</v>
      </c>
    </row>
    <row r="3" spans="1:23" x14ac:dyDescent="0.25">
      <c r="A3" s="37" t="str">
        <f>'VAL2'!A1</f>
        <v>VAL2: Mensagens Por Processar</v>
      </c>
      <c r="B3" s="10" t="s">
        <v>23</v>
      </c>
      <c r="C3" s="10" t="s">
        <v>23</v>
      </c>
      <c r="D3" s="10" t="s">
        <v>23</v>
      </c>
      <c r="E3" s="10" t="s">
        <v>23</v>
      </c>
      <c r="F3" t="s">
        <v>24</v>
      </c>
      <c r="G3" t="s">
        <v>24</v>
      </c>
      <c r="H3" t="s">
        <v>23</v>
      </c>
      <c r="I3" t="s">
        <v>23</v>
      </c>
      <c r="J3" t="s">
        <v>23</v>
      </c>
      <c r="K3" t="s">
        <v>24</v>
      </c>
      <c r="L3" t="s">
        <v>24</v>
      </c>
      <c r="M3" t="s">
        <v>23</v>
      </c>
      <c r="N3" t="s">
        <v>23</v>
      </c>
      <c r="O3" t="s">
        <v>23</v>
      </c>
      <c r="P3" t="s">
        <v>23</v>
      </c>
      <c r="Q3" t="s">
        <v>24</v>
      </c>
      <c r="R3" t="s">
        <v>24</v>
      </c>
      <c r="S3" t="s">
        <v>24</v>
      </c>
      <c r="T3" t="s">
        <v>24</v>
      </c>
    </row>
    <row r="4" spans="1:23" x14ac:dyDescent="0.25">
      <c r="A4" s="37" t="str">
        <f>'VAL3'!A1</f>
        <v>VAL3: Cambio Titular</v>
      </c>
      <c r="B4" s="10" t="s">
        <v>24</v>
      </c>
      <c r="C4" s="10" t="s">
        <v>24</v>
      </c>
      <c r="D4" s="10" t="s">
        <v>23</v>
      </c>
      <c r="E4" s="10" t="s">
        <v>23</v>
      </c>
      <c r="F4" t="s">
        <v>23</v>
      </c>
      <c r="G4" t="s">
        <v>23</v>
      </c>
      <c r="H4" t="s">
        <v>24</v>
      </c>
      <c r="I4" t="s">
        <v>23</v>
      </c>
      <c r="J4" t="s">
        <v>24</v>
      </c>
      <c r="K4" t="s">
        <v>24</v>
      </c>
      <c r="L4" t="s">
        <v>23</v>
      </c>
      <c r="M4" t="s">
        <v>23</v>
      </c>
      <c r="N4" t="s">
        <v>24</v>
      </c>
      <c r="O4" t="s">
        <v>24</v>
      </c>
      <c r="P4" t="s">
        <v>24</v>
      </c>
      <c r="Q4" t="s">
        <v>24</v>
      </c>
      <c r="R4" t="s">
        <v>24</v>
      </c>
      <c r="S4" t="s">
        <v>24</v>
      </c>
      <c r="T4" t="s">
        <v>24</v>
      </c>
    </row>
    <row r="5" spans="1:23" ht="15.75" thickBot="1" x14ac:dyDescent="0.3">
      <c r="A5" s="38" t="str">
        <f>'VAL4'!A1</f>
        <v>VAL4: Configurações SWOUT Mal Fechadas</v>
      </c>
      <c r="B5" s="33" t="s">
        <v>24</v>
      </c>
      <c r="C5" s="10" t="s">
        <v>23</v>
      </c>
      <c r="D5" s="10" t="s">
        <v>23</v>
      </c>
      <c r="E5" s="10" t="s">
        <v>23</v>
      </c>
      <c r="F5" t="s">
        <v>23</v>
      </c>
      <c r="G5" t="s">
        <v>23</v>
      </c>
      <c r="H5" t="s">
        <v>23</v>
      </c>
      <c r="I5" t="s">
        <v>23</v>
      </c>
      <c r="J5" t="s">
        <v>23</v>
      </c>
      <c r="K5" t="s">
        <v>23</v>
      </c>
      <c r="L5" t="s">
        <v>24</v>
      </c>
      <c r="M5" t="s">
        <v>23</v>
      </c>
      <c r="N5" t="s">
        <v>23</v>
      </c>
      <c r="O5" t="s">
        <v>23</v>
      </c>
      <c r="P5" t="s">
        <v>23</v>
      </c>
      <c r="Q5" t="s">
        <v>23</v>
      </c>
      <c r="R5" t="s">
        <v>24</v>
      </c>
      <c r="S5" t="s">
        <v>24</v>
      </c>
      <c r="T5" t="s">
        <v>24</v>
      </c>
    </row>
    <row r="7" spans="1:23" ht="15.75" thickBot="1" x14ac:dyDescent="0.3">
      <c r="A7" t="s">
        <v>41</v>
      </c>
      <c r="B7" s="43" t="s">
        <v>93</v>
      </c>
      <c r="C7" s="43" t="s">
        <v>102</v>
      </c>
      <c r="D7" s="43" t="s">
        <v>103</v>
      </c>
      <c r="E7" s="43" t="s">
        <v>104</v>
      </c>
      <c r="F7" s="43" t="s">
        <v>105</v>
      </c>
      <c r="G7" s="43" t="s">
        <v>106</v>
      </c>
      <c r="H7" s="43" t="s">
        <v>107</v>
      </c>
      <c r="I7" s="43" t="s">
        <v>108</v>
      </c>
      <c r="J7" s="43" t="s">
        <v>109</v>
      </c>
      <c r="K7" s="43" t="s">
        <v>110</v>
      </c>
      <c r="L7" s="43" t="s">
        <v>111</v>
      </c>
      <c r="M7" s="43" t="s">
        <v>112</v>
      </c>
      <c r="N7" s="43" t="s">
        <v>113</v>
      </c>
      <c r="O7" s="43" t="s">
        <v>114</v>
      </c>
      <c r="P7" s="43" t="s">
        <v>115</v>
      </c>
      <c r="Q7" s="43" t="s">
        <v>117</v>
      </c>
      <c r="R7" s="43" t="s">
        <v>118</v>
      </c>
      <c r="S7" s="43" t="s">
        <v>119</v>
      </c>
      <c r="T7" s="43" t="s">
        <v>121</v>
      </c>
      <c r="U7" s="43" t="s">
        <v>122</v>
      </c>
      <c r="V7" s="43" t="s">
        <v>123</v>
      </c>
      <c r="W7" s="43" t="s">
        <v>124</v>
      </c>
    </row>
    <row r="8" spans="1:23" x14ac:dyDescent="0.25">
      <c r="A8" s="34" t="str">
        <f>'VAL1'!A1</f>
        <v>VAL1: Processo Não terminado com última mensagem a NotValidated</v>
      </c>
      <c r="B8" s="44" t="s">
        <v>23</v>
      </c>
      <c r="C8" s="10" t="s">
        <v>23</v>
      </c>
      <c r="D8" s="10" t="s">
        <v>24</v>
      </c>
      <c r="E8" s="10" t="s">
        <v>24</v>
      </c>
      <c r="F8" t="s">
        <v>24</v>
      </c>
      <c r="G8" t="s">
        <v>24</v>
      </c>
      <c r="H8" t="s">
        <v>24</v>
      </c>
      <c r="I8" t="s">
        <v>24</v>
      </c>
      <c r="J8" t="s">
        <v>23</v>
      </c>
      <c r="K8" t="s">
        <v>23</v>
      </c>
      <c r="L8" t="s">
        <v>24</v>
      </c>
      <c r="M8" t="s">
        <v>24</v>
      </c>
      <c r="N8" t="s">
        <v>23</v>
      </c>
      <c r="O8" t="s">
        <v>23</v>
      </c>
      <c r="P8" t="s">
        <v>23</v>
      </c>
      <c r="Q8" t="s">
        <v>23</v>
      </c>
      <c r="R8" t="s">
        <v>23</v>
      </c>
      <c r="S8" t="s">
        <v>23</v>
      </c>
      <c r="T8" t="s">
        <v>23</v>
      </c>
      <c r="U8" t="s">
        <v>23</v>
      </c>
      <c r="V8" t="s">
        <v>23</v>
      </c>
      <c r="W8" t="s">
        <v>23</v>
      </c>
    </row>
    <row r="9" spans="1:23" x14ac:dyDescent="0.25">
      <c r="A9" s="37" t="str">
        <f>'VAL2'!A1</f>
        <v>VAL2: Mensagens Por Processar</v>
      </c>
      <c r="B9" s="10" t="s">
        <v>24</v>
      </c>
      <c r="C9" s="10" t="s">
        <v>24</v>
      </c>
      <c r="D9" s="10" t="s">
        <v>24</v>
      </c>
      <c r="E9" s="10" t="s">
        <v>24</v>
      </c>
      <c r="F9" t="s">
        <v>24</v>
      </c>
      <c r="G9" t="s">
        <v>24</v>
      </c>
      <c r="H9" t="s">
        <v>24</v>
      </c>
      <c r="I9" t="s">
        <v>24</v>
      </c>
      <c r="J9" t="s">
        <v>24</v>
      </c>
      <c r="K9" t="s">
        <v>24</v>
      </c>
      <c r="L9" t="s">
        <v>24</v>
      </c>
      <c r="M9" t="s">
        <v>24</v>
      </c>
      <c r="N9" t="s">
        <v>23</v>
      </c>
      <c r="O9" t="s">
        <v>24</v>
      </c>
      <c r="P9" t="s">
        <v>24</v>
      </c>
      <c r="Q9" t="s">
        <v>24</v>
      </c>
      <c r="R9" t="s">
        <v>24</v>
      </c>
      <c r="S9" t="s">
        <v>23</v>
      </c>
      <c r="T9" t="s">
        <v>23</v>
      </c>
      <c r="U9" t="s">
        <v>24</v>
      </c>
      <c r="V9" t="s">
        <v>24</v>
      </c>
      <c r="W9" t="s">
        <v>24</v>
      </c>
    </row>
    <row r="10" spans="1:23" x14ac:dyDescent="0.25">
      <c r="A10" s="37" t="str">
        <f>'VAL3'!A1</f>
        <v>VAL3: Cambio Titular</v>
      </c>
      <c r="B10" s="10" t="s">
        <v>24</v>
      </c>
      <c r="C10" s="10" t="s">
        <v>23</v>
      </c>
      <c r="D10" s="10" t="s">
        <v>23</v>
      </c>
      <c r="E10" s="10" t="s">
        <v>23</v>
      </c>
      <c r="F10" t="s">
        <v>23</v>
      </c>
      <c r="G10" t="s">
        <v>23</v>
      </c>
      <c r="H10" t="s">
        <v>23</v>
      </c>
      <c r="I10" t="s">
        <v>23</v>
      </c>
      <c r="J10" t="s">
        <v>23</v>
      </c>
      <c r="K10" t="s">
        <v>23</v>
      </c>
      <c r="L10" t="s">
        <v>23</v>
      </c>
      <c r="M10" t="s">
        <v>23</v>
      </c>
      <c r="N10" t="s">
        <v>23</v>
      </c>
      <c r="O10" t="s">
        <v>23</v>
      </c>
      <c r="P10" t="s">
        <v>23</v>
      </c>
      <c r="Q10" t="s">
        <v>23</v>
      </c>
      <c r="R10" t="s">
        <v>23</v>
      </c>
      <c r="S10" t="s">
        <v>23</v>
      </c>
      <c r="T10" t="s">
        <v>23</v>
      </c>
      <c r="U10" t="s">
        <v>23</v>
      </c>
      <c r="V10" t="s">
        <v>23</v>
      </c>
      <c r="W10" t="s">
        <v>23</v>
      </c>
    </row>
    <row r="11" spans="1:23" x14ac:dyDescent="0.25">
      <c r="A11" s="68" t="str">
        <f>'VAL4'!A1</f>
        <v>VAL4: Configurações SWOUT Mal Fechadas</v>
      </c>
      <c r="B11" s="10" t="s">
        <v>24</v>
      </c>
      <c r="C11" s="10" t="s">
        <v>24</v>
      </c>
      <c r="D11" s="10" t="s">
        <v>24</v>
      </c>
      <c r="E11" s="10" t="s">
        <v>24</v>
      </c>
      <c r="F11" t="s">
        <v>24</v>
      </c>
      <c r="G11" t="s">
        <v>24</v>
      </c>
      <c r="H11" t="s">
        <v>24</v>
      </c>
      <c r="I11" t="s">
        <v>24</v>
      </c>
      <c r="J11" t="s">
        <v>24</v>
      </c>
      <c r="K11" t="s">
        <v>24</v>
      </c>
      <c r="L11" t="s">
        <v>24</v>
      </c>
      <c r="M11" t="s">
        <v>24</v>
      </c>
      <c r="N11" t="s">
        <v>24</v>
      </c>
      <c r="O11" t="s">
        <v>24</v>
      </c>
      <c r="P11" t="s">
        <v>24</v>
      </c>
      <c r="Q11" t="s">
        <v>24</v>
      </c>
      <c r="R11" t="s">
        <v>24</v>
      </c>
      <c r="S11" t="s">
        <v>24</v>
      </c>
      <c r="T11" t="s">
        <v>24</v>
      </c>
      <c r="U11" t="s">
        <v>24</v>
      </c>
      <c r="V11" t="s">
        <v>24</v>
      </c>
      <c r="W11" t="s">
        <v>24</v>
      </c>
    </row>
    <row r="12" spans="1:23" x14ac:dyDescent="0.25">
      <c r="A12" s="20" t="str">
        <f>'VAL5'!A1</f>
        <v>VAL5: Configurações SWOUT que deveriam estar fechadas</v>
      </c>
      <c r="B12" s="10" t="s">
        <v>24</v>
      </c>
      <c r="C12" s="10" t="s">
        <v>23</v>
      </c>
      <c r="D12" s="10" t="s">
        <v>23</v>
      </c>
      <c r="E12" s="56" t="s">
        <v>23</v>
      </c>
      <c r="F12" t="s">
        <v>23</v>
      </c>
      <c r="G12" t="s">
        <v>23</v>
      </c>
      <c r="H12" t="s">
        <v>23</v>
      </c>
      <c r="I12" t="s">
        <v>23</v>
      </c>
      <c r="J12" t="s">
        <v>23</v>
      </c>
      <c r="K12" t="s">
        <v>23</v>
      </c>
      <c r="L12" t="s">
        <v>23</v>
      </c>
      <c r="M12" t="s">
        <v>23</v>
      </c>
      <c r="N12" t="s">
        <v>23</v>
      </c>
      <c r="O12" t="s">
        <v>23</v>
      </c>
      <c r="P12" t="s">
        <v>23</v>
      </c>
      <c r="Q12" t="s">
        <v>23</v>
      </c>
      <c r="R12" t="s">
        <v>23</v>
      </c>
      <c r="S12" t="s">
        <v>23</v>
      </c>
      <c r="T12" t="s">
        <v>23</v>
      </c>
      <c r="U12" t="s">
        <v>23</v>
      </c>
      <c r="V12" t="s">
        <v>23</v>
      </c>
      <c r="W12" t="s">
        <v>23</v>
      </c>
    </row>
    <row r="13" spans="1:23" x14ac:dyDescent="0.25">
      <c r="A13" s="35" t="str">
        <f>'VAL6'!A1:J1</f>
        <v>VAL6: Configurações ou SAs ativos duplicados</v>
      </c>
      <c r="B13" s="10"/>
      <c r="C13" s="10" t="s">
        <v>24</v>
      </c>
      <c r="D13" s="10" t="s">
        <v>23</v>
      </c>
      <c r="E13" s="56" t="s">
        <v>23</v>
      </c>
      <c r="F13" t="s">
        <v>23</v>
      </c>
      <c r="G13" t="s">
        <v>23</v>
      </c>
      <c r="H13" t="s">
        <v>23</v>
      </c>
      <c r="I13" t="s">
        <v>23</v>
      </c>
      <c r="J13" t="s">
        <v>23</v>
      </c>
      <c r="K13" t="s">
        <v>23</v>
      </c>
      <c r="L13" t="s">
        <v>23</v>
      </c>
      <c r="M13" t="s">
        <v>23</v>
      </c>
      <c r="N13" t="s">
        <v>23</v>
      </c>
      <c r="O13" t="s">
        <v>23</v>
      </c>
      <c r="P13" t="s">
        <v>23</v>
      </c>
      <c r="Q13" t="s">
        <v>23</v>
      </c>
      <c r="R13" t="s">
        <v>23</v>
      </c>
      <c r="S13" t="s">
        <v>23</v>
      </c>
      <c r="T13" t="s">
        <v>23</v>
      </c>
      <c r="U13" t="s">
        <v>23</v>
      </c>
      <c r="V13" t="s">
        <v>23</v>
      </c>
      <c r="W13" t="s">
        <v>23</v>
      </c>
    </row>
    <row r="14" spans="1:23" x14ac:dyDescent="0.25">
      <c r="A14" s="35" t="str">
        <f>'VAL7'!A1:J1</f>
        <v>VAL7: SAs sem mapas horários atribuidos</v>
      </c>
      <c r="B14" s="10"/>
      <c r="C14" s="10"/>
      <c r="D14" s="10"/>
      <c r="E14" s="56"/>
      <c r="H14" t="s">
        <v>23</v>
      </c>
      <c r="I14" t="s">
        <v>23</v>
      </c>
      <c r="J14" t="s">
        <v>23</v>
      </c>
      <c r="K14" t="s">
        <v>23</v>
      </c>
      <c r="L14" t="s">
        <v>23</v>
      </c>
      <c r="M14" t="s">
        <v>23</v>
      </c>
      <c r="N14" t="s">
        <v>23</v>
      </c>
      <c r="O14" t="s">
        <v>23</v>
      </c>
      <c r="P14" t="s">
        <v>23</v>
      </c>
      <c r="Q14" t="s">
        <v>23</v>
      </c>
      <c r="R14" t="s">
        <v>23</v>
      </c>
      <c r="S14" t="s">
        <v>23</v>
      </c>
      <c r="T14" t="s">
        <v>23</v>
      </c>
      <c r="U14" t="s">
        <v>23</v>
      </c>
      <c r="V14" t="s">
        <v>23</v>
      </c>
      <c r="W14" t="s">
        <v>23</v>
      </c>
    </row>
    <row r="15" spans="1:23" ht="15.75" thickBot="1" x14ac:dyDescent="0.3"/>
    <row r="16" spans="1:23" ht="15.75" thickBot="1" x14ac:dyDescent="0.3">
      <c r="A16" s="81" t="s">
        <v>41</v>
      </c>
      <c r="B16" s="107" t="s">
        <v>125</v>
      </c>
      <c r="C16" s="104" t="s">
        <v>126</v>
      </c>
      <c r="D16" s="104" t="s">
        <v>143</v>
      </c>
      <c r="E16" s="104" t="s">
        <v>158</v>
      </c>
      <c r="F16" s="104" t="s">
        <v>159</v>
      </c>
      <c r="G16" s="104" t="s">
        <v>160</v>
      </c>
      <c r="H16" s="104" t="s">
        <v>163</v>
      </c>
      <c r="I16" s="104" t="s">
        <v>164</v>
      </c>
      <c r="J16" s="104" t="s">
        <v>166</v>
      </c>
      <c r="K16" s="104" t="s">
        <v>174</v>
      </c>
      <c r="L16" s="104" t="s">
        <v>175</v>
      </c>
      <c r="M16" s="104" t="s">
        <v>177</v>
      </c>
      <c r="N16" s="104" t="s">
        <v>178</v>
      </c>
      <c r="O16" s="104" t="s">
        <v>179</v>
      </c>
      <c r="P16" s="104" t="s">
        <v>180</v>
      </c>
      <c r="Q16" s="104" t="s">
        <v>181</v>
      </c>
      <c r="R16" s="104" t="s">
        <v>182</v>
      </c>
    </row>
    <row r="17" spans="1:23" x14ac:dyDescent="0.25">
      <c r="A17" s="34" t="str">
        <f>'VAL1'!A1</f>
        <v>VAL1: Processo Não terminado com última mensagem a NotValidated</v>
      </c>
      <c r="B17" s="78" t="s">
        <v>23</v>
      </c>
      <c r="C17" t="s">
        <v>23</v>
      </c>
      <c r="D17" t="s">
        <v>23</v>
      </c>
      <c r="E17" t="s">
        <v>23</v>
      </c>
      <c r="F17" t="s">
        <v>23</v>
      </c>
      <c r="G17" t="s">
        <v>23</v>
      </c>
      <c r="H17" t="s">
        <v>23</v>
      </c>
      <c r="I17" t="s">
        <v>23</v>
      </c>
      <c r="J17" t="s">
        <v>23</v>
      </c>
      <c r="K17" t="s">
        <v>23</v>
      </c>
      <c r="L17" t="s">
        <v>23</v>
      </c>
      <c r="M17" t="s">
        <v>24</v>
      </c>
      <c r="N17" t="s">
        <v>24</v>
      </c>
      <c r="O17" t="s">
        <v>24</v>
      </c>
      <c r="P17" t="s">
        <v>24</v>
      </c>
      <c r="Q17" t="s">
        <v>23</v>
      </c>
      <c r="R17" t="s">
        <v>23</v>
      </c>
    </row>
    <row r="18" spans="1:23" x14ac:dyDescent="0.25">
      <c r="A18" s="37" t="str">
        <f>'VAL2'!A1</f>
        <v>VAL2: Mensagens Por Processar</v>
      </c>
      <c r="B18" s="10" t="s">
        <v>23</v>
      </c>
      <c r="C18" t="s">
        <v>23</v>
      </c>
      <c r="D18" t="s">
        <v>23</v>
      </c>
      <c r="E18" t="s">
        <v>23</v>
      </c>
      <c r="F18" t="s">
        <v>23</v>
      </c>
      <c r="G18" t="s">
        <v>161</v>
      </c>
      <c r="H18" t="s">
        <v>23</v>
      </c>
      <c r="I18" t="s">
        <v>24</v>
      </c>
      <c r="J18" t="s">
        <v>24</v>
      </c>
      <c r="K18" t="s">
        <v>24</v>
      </c>
      <c r="L18" t="s">
        <v>24</v>
      </c>
      <c r="M18" t="s">
        <v>23</v>
      </c>
      <c r="N18" t="s">
        <v>23</v>
      </c>
      <c r="O18" t="s">
        <v>23</v>
      </c>
      <c r="P18" t="s">
        <v>23</v>
      </c>
      <c r="Q18" t="s">
        <v>23</v>
      </c>
      <c r="R18" t="s">
        <v>23</v>
      </c>
    </row>
    <row r="19" spans="1:23" x14ac:dyDescent="0.25">
      <c r="A19" s="37" t="str">
        <f>'VAL3'!A1</f>
        <v>VAL3: Cambio Titular</v>
      </c>
      <c r="B19" s="79" t="s">
        <v>23</v>
      </c>
      <c r="C19" t="s">
        <v>23</v>
      </c>
      <c r="D19" t="s">
        <v>23</v>
      </c>
      <c r="E19" t="s">
        <v>23</v>
      </c>
      <c r="F19" t="s">
        <v>23</v>
      </c>
      <c r="G19" t="s">
        <v>23</v>
      </c>
      <c r="H19" t="s">
        <v>23</v>
      </c>
      <c r="I19" t="s">
        <v>23</v>
      </c>
      <c r="J19" t="s">
        <v>23</v>
      </c>
      <c r="K19" t="s">
        <v>23</v>
      </c>
      <c r="L19" t="s">
        <v>23</v>
      </c>
      <c r="M19" t="s">
        <v>23</v>
      </c>
      <c r="N19" t="s">
        <v>23</v>
      </c>
      <c r="O19" t="s">
        <v>23</v>
      </c>
      <c r="P19" t="s">
        <v>23</v>
      </c>
      <c r="Q19" t="s">
        <v>23</v>
      </c>
      <c r="R19" t="s">
        <v>23</v>
      </c>
    </row>
    <row r="20" spans="1:23" x14ac:dyDescent="0.25">
      <c r="A20" s="68" t="str">
        <f>'VAL4'!A1</f>
        <v>VAL4: Configurações SWOUT Mal Fechadas</v>
      </c>
      <c r="B20" s="10" t="s">
        <v>24</v>
      </c>
      <c r="C20" t="s">
        <v>24</v>
      </c>
      <c r="D20" t="s">
        <v>24</v>
      </c>
      <c r="E20" t="s">
        <v>24</v>
      </c>
      <c r="F20" t="s">
        <v>24</v>
      </c>
      <c r="G20" t="s">
        <v>24</v>
      </c>
      <c r="H20" t="s">
        <v>24</v>
      </c>
      <c r="I20" t="s">
        <v>23</v>
      </c>
      <c r="J20" t="s">
        <v>24</v>
      </c>
      <c r="K20" t="s">
        <v>24</v>
      </c>
      <c r="L20" t="s">
        <v>24</v>
      </c>
      <c r="M20" t="s">
        <v>24</v>
      </c>
      <c r="N20" t="s">
        <v>24</v>
      </c>
      <c r="O20" t="s">
        <v>24</v>
      </c>
      <c r="P20" t="s">
        <v>24</v>
      </c>
      <c r="Q20" t="s">
        <v>23</v>
      </c>
      <c r="R20" t="s">
        <v>23</v>
      </c>
    </row>
    <row r="21" spans="1:23" x14ac:dyDescent="0.25">
      <c r="A21" s="20" t="str">
        <f>'VAL5'!A1</f>
        <v>VAL5: Configurações SWOUT que deveriam estar fechadas</v>
      </c>
      <c r="B21" s="79" t="s">
        <v>23</v>
      </c>
      <c r="C21" t="s">
        <v>23</v>
      </c>
      <c r="D21" t="s">
        <v>23</v>
      </c>
      <c r="E21" t="s">
        <v>23</v>
      </c>
      <c r="F21" t="s">
        <v>23</v>
      </c>
      <c r="G21" t="s">
        <v>23</v>
      </c>
      <c r="H21" t="s">
        <v>23</v>
      </c>
      <c r="I21" t="s">
        <v>23</v>
      </c>
      <c r="J21" t="s">
        <v>23</v>
      </c>
      <c r="K21" t="s">
        <v>23</v>
      </c>
      <c r="L21" t="s">
        <v>23</v>
      </c>
      <c r="M21" t="s">
        <v>23</v>
      </c>
      <c r="N21" t="s">
        <v>23</v>
      </c>
      <c r="O21" t="s">
        <v>23</v>
      </c>
      <c r="P21" t="s">
        <v>23</v>
      </c>
      <c r="Q21" t="s">
        <v>23</v>
      </c>
      <c r="R21" t="s">
        <v>23</v>
      </c>
    </row>
    <row r="22" spans="1:23" x14ac:dyDescent="0.25">
      <c r="A22" s="35" t="str">
        <f>'VAL6'!A1:J1</f>
        <v>VAL6: Configurações ou SAs ativos duplicados</v>
      </c>
      <c r="B22" s="10" t="s">
        <v>23</v>
      </c>
      <c r="C22" t="s">
        <v>23</v>
      </c>
      <c r="D22" t="s">
        <v>23</v>
      </c>
      <c r="E22" t="s">
        <v>23</v>
      </c>
      <c r="F22" t="s">
        <v>23</v>
      </c>
      <c r="G22" t="s">
        <v>23</v>
      </c>
      <c r="H22" t="s">
        <v>23</v>
      </c>
      <c r="I22" t="s">
        <v>23</v>
      </c>
      <c r="J22" t="s">
        <v>23</v>
      </c>
      <c r="K22" t="s">
        <v>23</v>
      </c>
      <c r="L22" t="s">
        <v>23</v>
      </c>
      <c r="M22" t="s">
        <v>23</v>
      </c>
      <c r="N22" t="s">
        <v>23</v>
      </c>
      <c r="O22" t="s">
        <v>23</v>
      </c>
      <c r="P22" t="s">
        <v>23</v>
      </c>
      <c r="Q22" t="s">
        <v>23</v>
      </c>
      <c r="R22" t="s">
        <v>23</v>
      </c>
    </row>
    <row r="23" spans="1:23" ht="15.75" thickBot="1" x14ac:dyDescent="0.3">
      <c r="A23" s="35" t="str">
        <f>'VAL7'!A1:J1</f>
        <v>VAL7: SAs sem mapas horários atribuidos</v>
      </c>
      <c r="B23" s="80" t="s">
        <v>23</v>
      </c>
      <c r="C23" t="s">
        <v>23</v>
      </c>
      <c r="D23" t="s">
        <v>23</v>
      </c>
      <c r="E23" t="s">
        <v>23</v>
      </c>
      <c r="F23" t="s">
        <v>23</v>
      </c>
      <c r="G23" t="s">
        <v>23</v>
      </c>
      <c r="H23" t="s">
        <v>23</v>
      </c>
      <c r="I23" t="s">
        <v>23</v>
      </c>
      <c r="J23" t="s">
        <v>23</v>
      </c>
      <c r="K23" t="s">
        <v>23</v>
      </c>
      <c r="L23" t="s">
        <v>23</v>
      </c>
      <c r="M23" t="s">
        <v>23</v>
      </c>
      <c r="N23" t="s">
        <v>23</v>
      </c>
      <c r="O23" t="s">
        <v>23</v>
      </c>
      <c r="P23" t="s">
        <v>23</v>
      </c>
      <c r="Q23" t="s">
        <v>23</v>
      </c>
      <c r="R23" t="s">
        <v>23</v>
      </c>
    </row>
    <row r="24" spans="1:23" x14ac:dyDescent="0.25">
      <c r="A24" s="35" t="str">
        <f>'VAL8'!A1:J1</f>
        <v>VAL8: Processos em estado STOPSW/DATESERROR sem char CMATRSTA no SP e com erros no processo</v>
      </c>
      <c r="B24" s="79"/>
      <c r="M24" t="s">
        <v>23</v>
      </c>
      <c r="N24" t="s">
        <v>23</v>
      </c>
      <c r="O24" t="s">
        <v>23</v>
      </c>
      <c r="P24" t="s">
        <v>23</v>
      </c>
      <c r="Q24" t="s">
        <v>23</v>
      </c>
      <c r="R24" t="s">
        <v>23</v>
      </c>
    </row>
    <row r="25" spans="1:23" ht="15.75" thickBot="1" x14ac:dyDescent="0.3"/>
    <row r="26" spans="1:23" ht="15.75" thickBot="1" x14ac:dyDescent="0.3">
      <c r="A26" s="81" t="s">
        <v>41</v>
      </c>
      <c r="B26" s="77">
        <v>43374</v>
      </c>
      <c r="C26" s="77">
        <v>43375</v>
      </c>
      <c r="D26" s="77">
        <v>43376</v>
      </c>
      <c r="E26" s="77">
        <v>43377</v>
      </c>
      <c r="F26" s="77">
        <v>43381</v>
      </c>
      <c r="G26" s="77">
        <v>43382</v>
      </c>
      <c r="H26" s="77">
        <v>43383</v>
      </c>
      <c r="I26" s="77">
        <v>43384</v>
      </c>
      <c r="J26" s="77">
        <v>43385</v>
      </c>
      <c r="K26" s="77">
        <v>43388</v>
      </c>
      <c r="L26" s="77">
        <v>43389</v>
      </c>
      <c r="M26" s="77">
        <v>43390</v>
      </c>
      <c r="N26" s="77">
        <v>43391</v>
      </c>
      <c r="O26" s="77">
        <v>43392</v>
      </c>
      <c r="P26" s="77">
        <v>43395</v>
      </c>
      <c r="Q26" s="77">
        <v>43396</v>
      </c>
      <c r="R26" s="77">
        <v>43397</v>
      </c>
      <c r="S26" s="77">
        <v>43398</v>
      </c>
      <c r="T26" s="77">
        <v>43399</v>
      </c>
      <c r="U26" s="77">
        <v>43402</v>
      </c>
      <c r="V26" s="77">
        <v>43403</v>
      </c>
      <c r="W26" s="77">
        <v>43404</v>
      </c>
    </row>
    <row r="27" spans="1:23" x14ac:dyDescent="0.25">
      <c r="A27" s="89" t="str">
        <f>'VAL1'!A1</f>
        <v>VAL1: Processo Não terminado com última mensagem a NotValidated</v>
      </c>
      <c r="B27" s="78" t="s">
        <v>23</v>
      </c>
      <c r="C27" s="78" t="s">
        <v>23</v>
      </c>
      <c r="D27" s="78" t="s">
        <v>24</v>
      </c>
      <c r="E27" s="78" t="s">
        <v>24</v>
      </c>
      <c r="F27" s="78" t="s">
        <v>23</v>
      </c>
      <c r="G27" s="78" t="s">
        <v>24</v>
      </c>
      <c r="H27" s="78" t="s">
        <v>23</v>
      </c>
      <c r="I27" s="78" t="s">
        <v>23</v>
      </c>
      <c r="J27" s="78" t="s">
        <v>23</v>
      </c>
      <c r="K27" s="78" t="s">
        <v>23</v>
      </c>
      <c r="L27" s="78" t="s">
        <v>23</v>
      </c>
      <c r="M27" s="78" t="s">
        <v>23</v>
      </c>
      <c r="N27" s="78" t="s">
        <v>23</v>
      </c>
      <c r="O27" s="78" t="s">
        <v>23</v>
      </c>
      <c r="P27" s="78" t="s">
        <v>23</v>
      </c>
      <c r="Q27" s="78" t="s">
        <v>23</v>
      </c>
      <c r="R27" s="78" t="s">
        <v>23</v>
      </c>
      <c r="S27" s="78" t="s">
        <v>23</v>
      </c>
      <c r="T27" s="78" t="s">
        <v>23</v>
      </c>
      <c r="U27" s="78" t="s">
        <v>23</v>
      </c>
      <c r="V27" s="78" t="s">
        <v>23</v>
      </c>
      <c r="W27" s="78" t="s">
        <v>23</v>
      </c>
    </row>
    <row r="28" spans="1:23" x14ac:dyDescent="0.25">
      <c r="A28" s="37" t="str">
        <f>'VAL2'!A1</f>
        <v>VAL2: Mensagens Por Processar</v>
      </c>
      <c r="B28" s="10" t="s">
        <v>23</v>
      </c>
      <c r="C28" s="10" t="s">
        <v>23</v>
      </c>
      <c r="D28" s="10" t="s">
        <v>23</v>
      </c>
      <c r="E28" s="10" t="s">
        <v>23</v>
      </c>
      <c r="F28" s="10" t="s">
        <v>24</v>
      </c>
      <c r="G28" s="10" t="s">
        <v>24</v>
      </c>
      <c r="H28" s="10" t="s">
        <v>24</v>
      </c>
      <c r="I28" s="10" t="s">
        <v>24</v>
      </c>
      <c r="J28" s="10" t="s">
        <v>24</v>
      </c>
      <c r="K28" s="10" t="s">
        <v>23</v>
      </c>
      <c r="L28" s="10" t="s">
        <v>24</v>
      </c>
      <c r="M28" s="10" t="s">
        <v>24</v>
      </c>
      <c r="N28" s="10" t="s">
        <v>24</v>
      </c>
      <c r="O28" s="10" t="s">
        <v>24</v>
      </c>
      <c r="P28" s="10" t="s">
        <v>24</v>
      </c>
      <c r="Q28" s="10" t="s">
        <v>24</v>
      </c>
      <c r="R28" s="10" t="s">
        <v>23</v>
      </c>
      <c r="S28" s="10" t="s">
        <v>23</v>
      </c>
      <c r="T28" s="10" t="s">
        <v>23</v>
      </c>
      <c r="U28" s="10" t="s">
        <v>23</v>
      </c>
      <c r="V28" s="10" t="s">
        <v>23</v>
      </c>
      <c r="W28" s="10" t="s">
        <v>23</v>
      </c>
    </row>
    <row r="29" spans="1:23" x14ac:dyDescent="0.25">
      <c r="A29" s="90" t="str">
        <f>'VAL3'!A1</f>
        <v>VAL3: Cambio Titular</v>
      </c>
      <c r="B29" s="79" t="s">
        <v>23</v>
      </c>
      <c r="C29" s="79" t="s">
        <v>23</v>
      </c>
      <c r="D29" s="79" t="s">
        <v>23</v>
      </c>
      <c r="E29" s="79" t="s">
        <v>23</v>
      </c>
      <c r="F29" s="79" t="s">
        <v>23</v>
      </c>
      <c r="G29" s="79" t="s">
        <v>23</v>
      </c>
      <c r="H29" s="79" t="s">
        <v>23</v>
      </c>
      <c r="I29" s="79" t="s">
        <v>24</v>
      </c>
      <c r="J29" s="79" t="s">
        <v>24</v>
      </c>
      <c r="K29" s="79" t="s">
        <v>24</v>
      </c>
      <c r="L29" s="79" t="s">
        <v>24</v>
      </c>
      <c r="M29" s="79" t="s">
        <v>24</v>
      </c>
      <c r="N29" s="79" t="s">
        <v>24</v>
      </c>
      <c r="O29" s="79" t="s">
        <v>24</v>
      </c>
      <c r="P29" s="79" t="s">
        <v>24</v>
      </c>
      <c r="Q29" s="79" t="s">
        <v>24</v>
      </c>
      <c r="R29" s="79" t="s">
        <v>24</v>
      </c>
      <c r="S29" s="79" t="s">
        <v>24</v>
      </c>
      <c r="T29" s="79" t="s">
        <v>24</v>
      </c>
      <c r="U29" s="79" t="s">
        <v>24</v>
      </c>
      <c r="V29" s="79" t="s">
        <v>24</v>
      </c>
      <c r="W29" s="79" t="s">
        <v>23</v>
      </c>
    </row>
    <row r="30" spans="1:23" x14ac:dyDescent="0.25">
      <c r="A30" s="68" t="str">
        <f>'VAL4'!A1</f>
        <v>VAL4: Configurações SWOUT Mal Fechadas</v>
      </c>
      <c r="B30" s="10" t="s">
        <v>23</v>
      </c>
      <c r="C30" s="10" t="s">
        <v>23</v>
      </c>
      <c r="D30" s="10" t="s">
        <v>24</v>
      </c>
      <c r="E30" s="10" t="s">
        <v>24</v>
      </c>
      <c r="F30" s="10" t="s">
        <v>23</v>
      </c>
      <c r="G30" s="10" t="s">
        <v>23</v>
      </c>
      <c r="H30" s="10" t="s">
        <v>24</v>
      </c>
      <c r="I30" s="10" t="s">
        <v>24</v>
      </c>
      <c r="J30" s="10" t="s">
        <v>24</v>
      </c>
      <c r="K30" s="10" t="s">
        <v>24</v>
      </c>
      <c r="L30" s="10" t="s">
        <v>24</v>
      </c>
      <c r="M30" s="10" t="s">
        <v>24</v>
      </c>
      <c r="N30" s="10" t="s">
        <v>24</v>
      </c>
      <c r="O30" s="10" t="s">
        <v>24</v>
      </c>
      <c r="P30" s="10" t="s">
        <v>24</v>
      </c>
      <c r="Q30" s="10" t="s">
        <v>24</v>
      </c>
      <c r="R30" s="10" t="s">
        <v>24</v>
      </c>
      <c r="S30" s="10" t="s">
        <v>24</v>
      </c>
      <c r="T30" s="10" t="s">
        <v>24</v>
      </c>
      <c r="U30" s="10" t="s">
        <v>24</v>
      </c>
      <c r="V30" s="10" t="s">
        <v>24</v>
      </c>
      <c r="W30" s="10" t="s">
        <v>24</v>
      </c>
    </row>
    <row r="31" spans="1:23" x14ac:dyDescent="0.25">
      <c r="A31" s="91" t="str">
        <f>'VAL5'!A1</f>
        <v>VAL5: Configurações SWOUT que deveriam estar fechadas</v>
      </c>
      <c r="B31" s="79" t="s">
        <v>23</v>
      </c>
      <c r="C31" s="79" t="s">
        <v>23</v>
      </c>
      <c r="D31" s="79" t="s">
        <v>24</v>
      </c>
      <c r="E31" s="79" t="s">
        <v>23</v>
      </c>
      <c r="F31" s="79"/>
      <c r="G31" s="79" t="s">
        <v>23</v>
      </c>
      <c r="H31" s="79" t="s">
        <v>23</v>
      </c>
      <c r="I31" s="79" t="s">
        <v>23</v>
      </c>
      <c r="J31" s="79" t="s">
        <v>23</v>
      </c>
      <c r="K31" s="79" t="s">
        <v>23</v>
      </c>
      <c r="L31" s="79" t="s">
        <v>23</v>
      </c>
      <c r="M31" s="79" t="s">
        <v>23</v>
      </c>
      <c r="N31" s="79" t="s">
        <v>23</v>
      </c>
      <c r="O31" s="79" t="s">
        <v>23</v>
      </c>
      <c r="P31" s="79" t="s">
        <v>23</v>
      </c>
      <c r="Q31" s="79" t="s">
        <v>24</v>
      </c>
      <c r="R31" s="79" t="s">
        <v>23</v>
      </c>
      <c r="S31" s="79" t="s">
        <v>23</v>
      </c>
      <c r="T31" s="79" t="s">
        <v>23</v>
      </c>
      <c r="U31" s="79" t="s">
        <v>23</v>
      </c>
      <c r="V31" s="79" t="s">
        <v>23</v>
      </c>
      <c r="W31" s="79" t="s">
        <v>23</v>
      </c>
    </row>
    <row r="32" spans="1:23" x14ac:dyDescent="0.25">
      <c r="A32" s="35" t="str">
        <f>'VAL6'!A1:J1</f>
        <v>VAL6: Configurações ou SAs ativos duplicados</v>
      </c>
      <c r="B32" s="10" t="s">
        <v>23</v>
      </c>
      <c r="C32" s="10" t="s">
        <v>23</v>
      </c>
      <c r="D32" s="10" t="s">
        <v>23</v>
      </c>
      <c r="E32" s="10" t="s">
        <v>23</v>
      </c>
      <c r="F32" s="10" t="s">
        <v>23</v>
      </c>
      <c r="G32" s="10" t="s">
        <v>23</v>
      </c>
      <c r="H32" s="10" t="s">
        <v>23</v>
      </c>
      <c r="I32" s="10" t="s">
        <v>23</v>
      </c>
      <c r="J32" s="10" t="s">
        <v>23</v>
      </c>
      <c r="K32" s="10" t="s">
        <v>23</v>
      </c>
      <c r="L32" s="10" t="s">
        <v>23</v>
      </c>
      <c r="M32" s="10" t="s">
        <v>23</v>
      </c>
      <c r="N32" s="10" t="s">
        <v>23</v>
      </c>
      <c r="O32" s="10" t="s">
        <v>23</v>
      </c>
      <c r="P32" s="10" t="s">
        <v>23</v>
      </c>
      <c r="Q32" s="10" t="s">
        <v>23</v>
      </c>
      <c r="R32" s="10" t="s">
        <v>23</v>
      </c>
      <c r="S32" s="10" t="s">
        <v>23</v>
      </c>
      <c r="T32" s="10" t="s">
        <v>23</v>
      </c>
      <c r="U32" s="10" t="s">
        <v>23</v>
      </c>
      <c r="V32" s="10" t="s">
        <v>23</v>
      </c>
      <c r="W32" s="10" t="s">
        <v>23</v>
      </c>
    </row>
    <row r="33" spans="1:23" x14ac:dyDescent="0.25">
      <c r="A33" s="92" t="str">
        <f>'VAL7'!A1:J1</f>
        <v>VAL7: SAs sem mapas horários atribuidos</v>
      </c>
      <c r="B33" s="79" t="s">
        <v>23</v>
      </c>
      <c r="C33" s="79" t="s">
        <v>23</v>
      </c>
      <c r="D33" s="79" t="s">
        <v>23</v>
      </c>
      <c r="E33" s="79" t="s">
        <v>23</v>
      </c>
      <c r="F33" s="79" t="s">
        <v>23</v>
      </c>
      <c r="G33" s="79" t="s">
        <v>23</v>
      </c>
      <c r="H33" s="79" t="s">
        <v>23</v>
      </c>
      <c r="I33" s="79" t="s">
        <v>23</v>
      </c>
      <c r="J33" s="79" t="s">
        <v>23</v>
      </c>
      <c r="K33" s="79" t="s">
        <v>23</v>
      </c>
      <c r="L33" s="79" t="s">
        <v>23</v>
      </c>
      <c r="M33" s="79" t="s">
        <v>23</v>
      </c>
      <c r="N33" s="79" t="s">
        <v>23</v>
      </c>
      <c r="O33" s="79" t="s">
        <v>23</v>
      </c>
      <c r="P33" s="79" t="s">
        <v>23</v>
      </c>
      <c r="Q33" s="79" t="s">
        <v>23</v>
      </c>
      <c r="R33" s="79" t="s">
        <v>23</v>
      </c>
      <c r="S33" s="79" t="s">
        <v>23</v>
      </c>
      <c r="T33" s="79" t="s">
        <v>23</v>
      </c>
      <c r="U33" s="79" t="s">
        <v>23</v>
      </c>
      <c r="V33" s="79" t="s">
        <v>23</v>
      </c>
      <c r="W33" s="79" t="s">
        <v>23</v>
      </c>
    </row>
    <row r="34" spans="1:23" ht="15.75" thickBot="1" x14ac:dyDescent="0.3">
      <c r="A34" s="93" t="str">
        <f>'VAL8'!A1:J1</f>
        <v>VAL8: Processos em estado STOPSW/DATESERROR sem char CMATRSTA no SP e com erros no processo</v>
      </c>
      <c r="B34" s="94" t="s">
        <v>23</v>
      </c>
      <c r="C34" s="94" t="s">
        <v>23</v>
      </c>
      <c r="D34" s="94" t="s">
        <v>23</v>
      </c>
      <c r="E34" s="94" t="s">
        <v>183</v>
      </c>
      <c r="F34" s="94" t="s">
        <v>23</v>
      </c>
      <c r="G34" s="94" t="s">
        <v>23</v>
      </c>
      <c r="H34" s="94" t="s">
        <v>23</v>
      </c>
      <c r="I34" s="94" t="s">
        <v>23</v>
      </c>
      <c r="J34" s="94" t="s">
        <v>23</v>
      </c>
      <c r="K34" s="94" t="s">
        <v>23</v>
      </c>
      <c r="L34" s="94" t="s">
        <v>23</v>
      </c>
      <c r="M34" s="94" t="s">
        <v>23</v>
      </c>
      <c r="N34" s="94" t="s">
        <v>23</v>
      </c>
      <c r="O34" s="94" t="s">
        <v>23</v>
      </c>
      <c r="P34" s="94" t="s">
        <v>23</v>
      </c>
      <c r="Q34" s="94" t="s">
        <v>23</v>
      </c>
      <c r="R34" s="94" t="s">
        <v>23</v>
      </c>
      <c r="S34" s="94" t="s">
        <v>23</v>
      </c>
      <c r="T34" s="94" t="s">
        <v>23</v>
      </c>
      <c r="U34" s="94" t="s">
        <v>23</v>
      </c>
      <c r="V34" s="94" t="s">
        <v>23</v>
      </c>
      <c r="W34" s="94" t="s">
        <v>23</v>
      </c>
    </row>
    <row r="35" spans="1:23" ht="15.75" thickBot="1" x14ac:dyDescent="0.3"/>
    <row r="36" spans="1:23" x14ac:dyDescent="0.25">
      <c r="A36" s="109" t="s">
        <v>41</v>
      </c>
      <c r="B36" s="111">
        <v>43405</v>
      </c>
      <c r="C36" s="111">
        <v>43406</v>
      </c>
      <c r="D36" s="111">
        <v>43409</v>
      </c>
      <c r="E36" s="111">
        <v>43410</v>
      </c>
      <c r="F36" s="111">
        <v>43411</v>
      </c>
      <c r="G36" s="111">
        <v>43412</v>
      </c>
      <c r="H36" s="111">
        <v>43413</v>
      </c>
      <c r="I36" s="111">
        <v>43416</v>
      </c>
      <c r="J36" s="111">
        <v>43417</v>
      </c>
      <c r="K36" s="111">
        <v>43418</v>
      </c>
      <c r="L36" s="111">
        <v>43419</v>
      </c>
      <c r="M36" s="111">
        <v>43420</v>
      </c>
      <c r="N36" s="111">
        <v>43423</v>
      </c>
      <c r="O36" s="111">
        <v>43424</v>
      </c>
      <c r="P36" s="111">
        <v>43425</v>
      </c>
      <c r="Q36" s="111">
        <v>43426</v>
      </c>
      <c r="R36" s="111">
        <v>43427</v>
      </c>
      <c r="S36" s="111">
        <v>43430</v>
      </c>
      <c r="T36" s="111">
        <v>43431</v>
      </c>
      <c r="U36" s="111">
        <v>43432</v>
      </c>
      <c r="V36" s="111">
        <v>43433</v>
      </c>
      <c r="W36" s="111">
        <v>43434</v>
      </c>
    </row>
    <row r="37" spans="1:23" x14ac:dyDescent="0.25">
      <c r="A37" s="91" t="s">
        <v>62</v>
      </c>
      <c r="B37" s="79" t="s">
        <v>23</v>
      </c>
      <c r="C37" s="79" t="s">
        <v>23</v>
      </c>
      <c r="D37" s="79" t="s">
        <v>23</v>
      </c>
      <c r="E37" s="79" t="s">
        <v>23</v>
      </c>
      <c r="F37" s="79" t="s">
        <v>23</v>
      </c>
      <c r="G37" s="79" t="s">
        <v>23</v>
      </c>
      <c r="H37" s="79" t="s">
        <v>23</v>
      </c>
      <c r="I37" s="79" t="s">
        <v>23</v>
      </c>
      <c r="J37" s="79" t="s">
        <v>23</v>
      </c>
      <c r="K37" s="79" t="s">
        <v>23</v>
      </c>
      <c r="L37" s="79" t="s">
        <v>23</v>
      </c>
      <c r="M37" s="79" t="s">
        <v>23</v>
      </c>
      <c r="N37" s="79" t="s">
        <v>23</v>
      </c>
      <c r="O37" s="79" t="s">
        <v>23</v>
      </c>
      <c r="P37" s="79" t="s">
        <v>23</v>
      </c>
      <c r="Q37" s="79" t="s">
        <v>23</v>
      </c>
      <c r="R37" s="79" t="s">
        <v>23</v>
      </c>
      <c r="S37" s="79" t="s">
        <v>23</v>
      </c>
      <c r="T37" s="79" t="s">
        <v>23</v>
      </c>
      <c r="U37" s="79" t="s">
        <v>23</v>
      </c>
      <c r="V37" s="79" t="s">
        <v>23</v>
      </c>
      <c r="W37" s="79"/>
    </row>
    <row r="38" spans="1:23" x14ac:dyDescent="0.25">
      <c r="A38" s="20" t="s">
        <v>2</v>
      </c>
      <c r="B38" s="10" t="s">
        <v>23</v>
      </c>
      <c r="C38" s="10" t="s">
        <v>23</v>
      </c>
      <c r="D38" s="10" t="s">
        <v>23</v>
      </c>
      <c r="E38" s="10" t="s">
        <v>23</v>
      </c>
      <c r="F38" s="10" t="s">
        <v>23</v>
      </c>
      <c r="G38" s="10" t="s">
        <v>24</v>
      </c>
      <c r="H38" s="10" t="s">
        <v>23</v>
      </c>
      <c r="I38" s="10" t="s">
        <v>23</v>
      </c>
      <c r="J38" s="10" t="s">
        <v>23</v>
      </c>
      <c r="K38" s="10" t="s">
        <v>23</v>
      </c>
      <c r="L38" s="10" t="s">
        <v>23</v>
      </c>
      <c r="M38" s="10" t="s">
        <v>23</v>
      </c>
      <c r="N38" s="10" t="s">
        <v>23</v>
      </c>
      <c r="O38" s="10" t="s">
        <v>23</v>
      </c>
      <c r="P38" s="10" t="s">
        <v>23</v>
      </c>
      <c r="Q38" s="10" t="s">
        <v>23</v>
      </c>
      <c r="R38" s="10" t="s">
        <v>23</v>
      </c>
      <c r="S38" s="10" t="s">
        <v>23</v>
      </c>
      <c r="T38" s="10" t="s">
        <v>23</v>
      </c>
      <c r="U38" s="10" t="s">
        <v>24</v>
      </c>
      <c r="V38" s="10" t="s">
        <v>23</v>
      </c>
      <c r="W38" s="10"/>
    </row>
    <row r="39" spans="1:23" x14ac:dyDescent="0.25">
      <c r="A39" s="91" t="s">
        <v>4</v>
      </c>
      <c r="B39" s="79" t="s">
        <v>23</v>
      </c>
      <c r="C39" s="79" t="s">
        <v>23</v>
      </c>
      <c r="D39" s="79" t="s">
        <v>23</v>
      </c>
      <c r="E39" s="79" t="s">
        <v>23</v>
      </c>
      <c r="F39" s="79" t="s">
        <v>23</v>
      </c>
      <c r="G39" s="79" t="s">
        <v>23</v>
      </c>
      <c r="H39" s="79" t="s">
        <v>23</v>
      </c>
      <c r="I39" s="79" t="s">
        <v>23</v>
      </c>
      <c r="J39" s="79" t="s">
        <v>23</v>
      </c>
      <c r="K39" s="79" t="s">
        <v>23</v>
      </c>
      <c r="L39" s="79" t="s">
        <v>23</v>
      </c>
      <c r="M39" s="79" t="s">
        <v>23</v>
      </c>
      <c r="N39" s="79" t="s">
        <v>23</v>
      </c>
      <c r="O39" s="79" t="s">
        <v>23</v>
      </c>
      <c r="P39" s="79" t="s">
        <v>23</v>
      </c>
      <c r="Q39" s="79" t="s">
        <v>23</v>
      </c>
      <c r="R39" s="79" t="s">
        <v>23</v>
      </c>
      <c r="S39" s="79" t="s">
        <v>23</v>
      </c>
      <c r="T39" s="79" t="s">
        <v>23</v>
      </c>
      <c r="U39" s="79" t="s">
        <v>23</v>
      </c>
      <c r="V39" s="79" t="s">
        <v>23</v>
      </c>
      <c r="W39" s="79"/>
    </row>
    <row r="40" spans="1:23" x14ac:dyDescent="0.25">
      <c r="A40" s="20" t="s">
        <v>5</v>
      </c>
      <c r="B40" s="10" t="s">
        <v>24</v>
      </c>
      <c r="C40" s="10" t="s">
        <v>24</v>
      </c>
      <c r="D40" s="10" t="s">
        <v>24</v>
      </c>
      <c r="E40" s="10" t="s">
        <v>24</v>
      </c>
      <c r="F40" s="10" t="s">
        <v>24</v>
      </c>
      <c r="G40" s="10" t="s">
        <v>24</v>
      </c>
      <c r="H40" s="10" t="s">
        <v>24</v>
      </c>
      <c r="I40" s="10" t="s">
        <v>24</v>
      </c>
      <c r="J40" s="10" t="s">
        <v>24</v>
      </c>
      <c r="K40" s="10" t="s">
        <v>24</v>
      </c>
      <c r="L40" s="10" t="s">
        <v>24</v>
      </c>
      <c r="M40" s="10" t="s">
        <v>24</v>
      </c>
      <c r="N40" s="10" t="s">
        <v>24</v>
      </c>
      <c r="O40" s="10" t="s">
        <v>24</v>
      </c>
      <c r="P40" s="10" t="s">
        <v>24</v>
      </c>
      <c r="Q40" s="10" t="s">
        <v>24</v>
      </c>
      <c r="R40" s="10" t="s">
        <v>24</v>
      </c>
      <c r="S40" s="10" t="s">
        <v>24</v>
      </c>
      <c r="T40" s="10" t="s">
        <v>24</v>
      </c>
      <c r="U40" s="10" t="s">
        <v>24</v>
      </c>
      <c r="V40" s="10" t="s">
        <v>24</v>
      </c>
      <c r="W40" s="10"/>
    </row>
    <row r="41" spans="1:23" x14ac:dyDescent="0.25">
      <c r="A41" s="91" t="s">
        <v>92</v>
      </c>
      <c r="B41" s="79" t="s">
        <v>23</v>
      </c>
      <c r="C41" s="79" t="s">
        <v>23</v>
      </c>
      <c r="D41" s="79" t="s">
        <v>23</v>
      </c>
      <c r="E41" s="79" t="s">
        <v>24</v>
      </c>
      <c r="F41" s="79" t="s">
        <v>23</v>
      </c>
      <c r="G41" s="79" t="s">
        <v>24</v>
      </c>
      <c r="H41" s="79" t="s">
        <v>24</v>
      </c>
      <c r="I41" s="79" t="s">
        <v>23</v>
      </c>
      <c r="J41" s="79" t="s">
        <v>23</v>
      </c>
      <c r="K41" s="79" t="s">
        <v>24</v>
      </c>
      <c r="L41" s="79" t="s">
        <v>24</v>
      </c>
      <c r="M41" s="79" t="s">
        <v>24</v>
      </c>
      <c r="N41" s="79" t="s">
        <v>23</v>
      </c>
      <c r="O41" s="79" t="s">
        <v>23</v>
      </c>
      <c r="P41" s="79" t="s">
        <v>23</v>
      </c>
      <c r="Q41" s="79" t="s">
        <v>23</v>
      </c>
      <c r="R41" s="79" t="s">
        <v>23</v>
      </c>
      <c r="S41" s="79" t="s">
        <v>23</v>
      </c>
      <c r="T41" s="79" t="s">
        <v>23</v>
      </c>
      <c r="U41" s="79" t="s">
        <v>23</v>
      </c>
      <c r="V41" s="79" t="s">
        <v>23</v>
      </c>
      <c r="W41" s="79"/>
    </row>
    <row r="42" spans="1:23" x14ac:dyDescent="0.25">
      <c r="A42" s="20" t="s">
        <v>99</v>
      </c>
      <c r="B42" s="10" t="s">
        <v>23</v>
      </c>
      <c r="C42" s="10" t="s">
        <v>23</v>
      </c>
      <c r="D42" s="10" t="s">
        <v>23</v>
      </c>
      <c r="E42" s="10" t="s">
        <v>23</v>
      </c>
      <c r="F42" s="10" t="s">
        <v>23</v>
      </c>
      <c r="G42" s="10" t="s">
        <v>23</v>
      </c>
      <c r="H42" s="10" t="s">
        <v>23</v>
      </c>
      <c r="I42" s="10" t="s">
        <v>23</v>
      </c>
      <c r="J42" s="10" t="s">
        <v>23</v>
      </c>
      <c r="K42" s="10" t="s">
        <v>23</v>
      </c>
      <c r="L42" s="10" t="s">
        <v>23</v>
      </c>
      <c r="M42" s="10" t="s">
        <v>23</v>
      </c>
      <c r="N42" s="10" t="s">
        <v>23</v>
      </c>
      <c r="O42" s="10" t="s">
        <v>23</v>
      </c>
      <c r="P42" s="10" t="s">
        <v>23</v>
      </c>
      <c r="Q42" s="10" t="s">
        <v>23</v>
      </c>
      <c r="R42" s="10" t="s">
        <v>23</v>
      </c>
      <c r="S42" s="10" t="s">
        <v>23</v>
      </c>
      <c r="T42" s="10" t="s">
        <v>23</v>
      </c>
      <c r="U42" s="10" t="s">
        <v>23</v>
      </c>
      <c r="V42" s="10" t="s">
        <v>23</v>
      </c>
      <c r="W42" s="10"/>
    </row>
    <row r="43" spans="1:23" x14ac:dyDescent="0.25">
      <c r="A43" s="91" t="s">
        <v>98</v>
      </c>
      <c r="B43" s="79" t="s">
        <v>23</v>
      </c>
      <c r="C43" s="79" t="s">
        <v>23</v>
      </c>
      <c r="D43" s="79" t="s">
        <v>23</v>
      </c>
      <c r="E43" s="79" t="s">
        <v>23</v>
      </c>
      <c r="F43" s="79" t="s">
        <v>23</v>
      </c>
      <c r="G43" s="79" t="s">
        <v>23</v>
      </c>
      <c r="H43" s="79" t="s">
        <v>23</v>
      </c>
      <c r="I43" s="79" t="s">
        <v>23</v>
      </c>
      <c r="J43" s="79" t="s">
        <v>23</v>
      </c>
      <c r="K43" s="79" t="s">
        <v>23</v>
      </c>
      <c r="L43" s="79" t="s">
        <v>23</v>
      </c>
      <c r="M43" s="79" t="s">
        <v>23</v>
      </c>
      <c r="N43" s="79" t="s">
        <v>23</v>
      </c>
      <c r="O43" s="79" t="s">
        <v>23</v>
      </c>
      <c r="P43" s="79" t="s">
        <v>23</v>
      </c>
      <c r="Q43" s="79" t="s">
        <v>23</v>
      </c>
      <c r="R43" s="79" t="s">
        <v>23</v>
      </c>
      <c r="S43" s="79" t="s">
        <v>23</v>
      </c>
      <c r="T43" s="79" t="s">
        <v>23</v>
      </c>
      <c r="U43" s="79" t="s">
        <v>23</v>
      </c>
      <c r="V43" s="79" t="s">
        <v>23</v>
      </c>
      <c r="W43" s="79"/>
    </row>
    <row r="44" spans="1:23" x14ac:dyDescent="0.25">
      <c r="A44" s="91" t="s">
        <v>138</v>
      </c>
      <c r="B44" s="79" t="s">
        <v>23</v>
      </c>
      <c r="C44" s="79" t="s">
        <v>23</v>
      </c>
      <c r="D44" s="79" t="s">
        <v>23</v>
      </c>
      <c r="E44" s="79" t="s">
        <v>23</v>
      </c>
      <c r="F44" s="79" t="s">
        <v>23</v>
      </c>
      <c r="G44" s="79" t="s">
        <v>23</v>
      </c>
      <c r="H44" s="79" t="s">
        <v>23</v>
      </c>
      <c r="I44" s="79" t="s">
        <v>23</v>
      </c>
      <c r="J44" s="79" t="s">
        <v>23</v>
      </c>
      <c r="K44" s="79" t="s">
        <v>23</v>
      </c>
      <c r="L44" s="79" t="s">
        <v>23</v>
      </c>
      <c r="M44" s="79" t="s">
        <v>23</v>
      </c>
      <c r="N44" s="79" t="s">
        <v>23</v>
      </c>
      <c r="O44" s="79" t="s">
        <v>23</v>
      </c>
      <c r="P44" s="79" t="s">
        <v>23</v>
      </c>
      <c r="Q44" s="79" t="s">
        <v>23</v>
      </c>
      <c r="R44" s="79" t="s">
        <v>23</v>
      </c>
      <c r="S44" s="79" t="s">
        <v>23</v>
      </c>
      <c r="T44" s="79" t="s">
        <v>23</v>
      </c>
      <c r="U44" s="79" t="s">
        <v>23</v>
      </c>
      <c r="V44" s="79" t="s">
        <v>23</v>
      </c>
      <c r="W44" s="79"/>
    </row>
    <row r="45" spans="1:23" x14ac:dyDescent="0.25">
      <c r="A45" s="20" t="str">
        <f>'VAl9'!A1</f>
        <v>VAL9: D041s por estados tirando o cancelado e rejeitado</v>
      </c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 t="s">
        <v>23</v>
      </c>
      <c r="R45" s="10" t="s">
        <v>23</v>
      </c>
      <c r="S45" s="10" t="s">
        <v>23</v>
      </c>
      <c r="T45" s="10" t="s">
        <v>23</v>
      </c>
      <c r="U45" s="10" t="s">
        <v>23</v>
      </c>
      <c r="V45" s="10" t="s">
        <v>23</v>
      </c>
      <c r="W45" s="10"/>
    </row>
    <row r="46" spans="1:23" x14ac:dyDescent="0.25">
      <c r="A46" s="110" t="str">
        <f>'VAL10'!A1</f>
        <v>VAL10: D041s como ultimo processo e as configs estão fechadas</v>
      </c>
      <c r="B46" s="94"/>
      <c r="C46" s="94"/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94"/>
      <c r="Q46" s="94" t="s">
        <v>23</v>
      </c>
      <c r="R46" s="94" t="s">
        <v>23</v>
      </c>
      <c r="S46" s="94" t="s">
        <v>23</v>
      </c>
      <c r="T46" s="94" t="s">
        <v>23</v>
      </c>
      <c r="U46" s="94" t="s">
        <v>23</v>
      </c>
      <c r="V46" s="94" t="s">
        <v>23</v>
      </c>
      <c r="W46" s="94"/>
    </row>
    <row r="47" spans="1:23" ht="15.75" thickBot="1" x14ac:dyDescent="0.3"/>
    <row r="48" spans="1:23" x14ac:dyDescent="0.25">
      <c r="A48" s="109" t="s">
        <v>41</v>
      </c>
      <c r="B48" s="111">
        <v>43437</v>
      </c>
      <c r="C48" s="111">
        <v>43438</v>
      </c>
      <c r="D48" s="111">
        <v>43439</v>
      </c>
      <c r="E48" s="111">
        <v>43440</v>
      </c>
      <c r="F48" s="111">
        <v>43441</v>
      </c>
      <c r="G48" s="111">
        <v>43444</v>
      </c>
      <c r="H48" s="111">
        <v>43445</v>
      </c>
      <c r="I48" s="111">
        <v>43446</v>
      </c>
      <c r="J48" s="111">
        <v>43447</v>
      </c>
      <c r="K48" s="111">
        <v>43448</v>
      </c>
      <c r="L48" s="111">
        <v>43451</v>
      </c>
      <c r="M48" s="111">
        <v>43452</v>
      </c>
      <c r="N48" s="111">
        <v>43453</v>
      </c>
      <c r="O48" s="111">
        <v>43454</v>
      </c>
      <c r="P48" s="111">
        <v>43465</v>
      </c>
      <c r="Q48" s="111"/>
      <c r="R48" s="111"/>
      <c r="S48" s="111"/>
      <c r="T48" s="111"/>
      <c r="U48" s="111"/>
      <c r="V48" s="111"/>
      <c r="W48" s="111"/>
    </row>
    <row r="49" spans="1:23" x14ac:dyDescent="0.25">
      <c r="A49" s="91" t="s">
        <v>62</v>
      </c>
      <c r="B49" s="79" t="s">
        <v>23</v>
      </c>
      <c r="C49" s="79" t="s">
        <v>23</v>
      </c>
      <c r="D49" s="79" t="s">
        <v>24</v>
      </c>
      <c r="E49" s="79" t="s">
        <v>23</v>
      </c>
      <c r="F49" s="79" t="s">
        <v>23</v>
      </c>
      <c r="G49" s="79" t="s">
        <v>23</v>
      </c>
      <c r="H49" s="79" t="s">
        <v>23</v>
      </c>
      <c r="I49" s="79" t="s">
        <v>23</v>
      </c>
      <c r="J49" s="79" t="s">
        <v>23</v>
      </c>
      <c r="K49" s="79" t="s">
        <v>23</v>
      </c>
      <c r="L49" s="79" t="s">
        <v>23</v>
      </c>
      <c r="M49" s="79" t="s">
        <v>23</v>
      </c>
      <c r="N49" s="79" t="s">
        <v>23</v>
      </c>
      <c r="O49" s="79" t="s">
        <v>23</v>
      </c>
      <c r="P49" s="79" t="s">
        <v>23</v>
      </c>
      <c r="Q49" s="79"/>
      <c r="R49" s="79"/>
      <c r="S49" s="79"/>
      <c r="T49" s="79"/>
      <c r="U49" s="79"/>
      <c r="V49" s="79"/>
      <c r="W49" s="79"/>
    </row>
    <row r="50" spans="1:23" x14ac:dyDescent="0.25">
      <c r="A50" s="20" t="s">
        <v>2</v>
      </c>
      <c r="B50" s="10" t="s">
        <v>23</v>
      </c>
      <c r="C50" s="10" t="s">
        <v>23</v>
      </c>
      <c r="D50" s="10" t="s">
        <v>23</v>
      </c>
      <c r="E50" s="10" t="s">
        <v>23</v>
      </c>
      <c r="F50" s="10" t="s">
        <v>23</v>
      </c>
      <c r="G50" s="10" t="s">
        <v>23</v>
      </c>
      <c r="H50" s="10" t="s">
        <v>23</v>
      </c>
      <c r="I50" s="10" t="s">
        <v>23</v>
      </c>
      <c r="J50" s="10" t="s">
        <v>23</v>
      </c>
      <c r="K50" s="10" t="s">
        <v>23</v>
      </c>
      <c r="L50" s="10" t="s">
        <v>23</v>
      </c>
      <c r="M50" s="10" t="s">
        <v>23</v>
      </c>
      <c r="N50" s="10" t="s">
        <v>23</v>
      </c>
      <c r="O50" s="10" t="s">
        <v>23</v>
      </c>
      <c r="P50" s="10" t="s">
        <v>23</v>
      </c>
      <c r="Q50" s="10"/>
      <c r="R50" s="10"/>
      <c r="S50" s="10"/>
      <c r="T50" s="10"/>
      <c r="U50" s="10"/>
      <c r="V50" s="10"/>
      <c r="W50" s="10"/>
    </row>
    <row r="51" spans="1:23" x14ac:dyDescent="0.25">
      <c r="A51" s="91" t="s">
        <v>4</v>
      </c>
      <c r="B51" s="79" t="s">
        <v>23</v>
      </c>
      <c r="C51" s="79" t="s">
        <v>23</v>
      </c>
      <c r="D51" s="79" t="s">
        <v>24</v>
      </c>
      <c r="E51" s="79" t="s">
        <v>24</v>
      </c>
      <c r="F51" s="79" t="s">
        <v>24</v>
      </c>
      <c r="G51" s="79" t="s">
        <v>24</v>
      </c>
      <c r="H51" s="79" t="s">
        <v>24</v>
      </c>
      <c r="I51" s="79" t="s">
        <v>24</v>
      </c>
      <c r="J51" s="79" t="s">
        <v>24</v>
      </c>
      <c r="K51" s="79" t="s">
        <v>24</v>
      </c>
      <c r="L51" s="79" t="s">
        <v>24</v>
      </c>
      <c r="M51" s="79" t="s">
        <v>24</v>
      </c>
      <c r="N51" s="79" t="s">
        <v>24</v>
      </c>
      <c r="O51" s="79" t="s">
        <v>23</v>
      </c>
      <c r="P51" s="79" t="s">
        <v>23</v>
      </c>
      <c r="Q51" s="79"/>
      <c r="R51" s="79"/>
      <c r="S51" s="79"/>
      <c r="T51" s="79"/>
      <c r="U51" s="79"/>
      <c r="V51" s="79"/>
      <c r="W51" s="79"/>
    </row>
    <row r="52" spans="1:23" x14ac:dyDescent="0.25">
      <c r="A52" s="20" t="s">
        <v>5</v>
      </c>
      <c r="B52" s="10" t="s">
        <v>24</v>
      </c>
      <c r="C52" s="10" t="s">
        <v>24</v>
      </c>
      <c r="D52" s="10" t="s">
        <v>24</v>
      </c>
      <c r="E52" s="10" t="s">
        <v>24</v>
      </c>
      <c r="F52" s="10" t="s">
        <v>24</v>
      </c>
      <c r="G52" s="10" t="s">
        <v>24</v>
      </c>
      <c r="H52" s="10" t="s">
        <v>24</v>
      </c>
      <c r="I52" s="10" t="s">
        <v>24</v>
      </c>
      <c r="J52" s="10" t="s">
        <v>24</v>
      </c>
      <c r="K52" s="10" t="s">
        <v>24</v>
      </c>
      <c r="L52" s="10" t="s">
        <v>24</v>
      </c>
      <c r="M52" s="10" t="s">
        <v>24</v>
      </c>
      <c r="N52" s="10" t="s">
        <v>24</v>
      </c>
      <c r="O52" s="10" t="s">
        <v>24</v>
      </c>
      <c r="P52" s="10" t="s">
        <v>24</v>
      </c>
      <c r="Q52" s="10"/>
      <c r="R52" s="10"/>
      <c r="S52" s="10"/>
      <c r="T52" s="10"/>
      <c r="U52" s="10"/>
      <c r="V52" s="10"/>
      <c r="W52" s="10"/>
    </row>
    <row r="53" spans="1:23" x14ac:dyDescent="0.25">
      <c r="A53" s="91" t="s">
        <v>92</v>
      </c>
      <c r="B53" s="79" t="s">
        <v>24</v>
      </c>
      <c r="C53" s="79" t="s">
        <v>24</v>
      </c>
      <c r="D53" s="79" t="s">
        <v>23</v>
      </c>
      <c r="E53" s="79" t="s">
        <v>23</v>
      </c>
      <c r="F53" s="79" t="s">
        <v>23</v>
      </c>
      <c r="G53" s="79" t="s">
        <v>23</v>
      </c>
      <c r="H53" s="79" t="s">
        <v>23</v>
      </c>
      <c r="I53" s="79" t="s">
        <v>23</v>
      </c>
      <c r="J53" s="79" t="s">
        <v>23</v>
      </c>
      <c r="K53" s="79" t="s">
        <v>24</v>
      </c>
      <c r="L53" s="79" t="s">
        <v>23</v>
      </c>
      <c r="M53" s="79" t="s">
        <v>23</v>
      </c>
      <c r="N53" s="79" t="s">
        <v>23</v>
      </c>
      <c r="O53" s="79" t="s">
        <v>23</v>
      </c>
      <c r="P53" s="79" t="s">
        <v>23</v>
      </c>
      <c r="Q53" s="79"/>
      <c r="R53" s="79"/>
      <c r="S53" s="79"/>
      <c r="T53" s="79"/>
      <c r="U53" s="79"/>
      <c r="V53" s="79"/>
      <c r="W53" s="79"/>
    </row>
    <row r="54" spans="1:23" x14ac:dyDescent="0.25">
      <c r="A54" s="20" t="s">
        <v>99</v>
      </c>
      <c r="B54" s="10" t="s">
        <v>23</v>
      </c>
      <c r="C54" s="10" t="s">
        <v>23</v>
      </c>
      <c r="D54" s="10" t="s">
        <v>23</v>
      </c>
      <c r="E54" s="10" t="s">
        <v>23</v>
      </c>
      <c r="F54" s="10" t="s">
        <v>23</v>
      </c>
      <c r="G54" s="10" t="s">
        <v>23</v>
      </c>
      <c r="H54" s="10" t="s">
        <v>23</v>
      </c>
      <c r="I54" s="10" t="s">
        <v>23</v>
      </c>
      <c r="J54" s="10" t="s">
        <v>23</v>
      </c>
      <c r="K54" s="10" t="s">
        <v>23</v>
      </c>
      <c r="L54" s="10" t="s">
        <v>23</v>
      </c>
      <c r="M54" s="10" t="s">
        <v>23</v>
      </c>
      <c r="N54" s="10" t="s">
        <v>23</v>
      </c>
      <c r="O54" s="10" t="s">
        <v>23</v>
      </c>
      <c r="P54" s="10" t="s">
        <v>23</v>
      </c>
      <c r="Q54" s="10"/>
      <c r="R54" s="10"/>
      <c r="S54" s="10"/>
      <c r="T54" s="10"/>
      <c r="U54" s="10"/>
      <c r="V54" s="10"/>
      <c r="W54" s="10"/>
    </row>
    <row r="55" spans="1:23" x14ac:dyDescent="0.25">
      <c r="A55" s="91" t="s">
        <v>98</v>
      </c>
      <c r="B55" s="79" t="s">
        <v>23</v>
      </c>
      <c r="C55" s="79" t="s">
        <v>23</v>
      </c>
      <c r="D55" s="79" t="s">
        <v>23</v>
      </c>
      <c r="E55" s="79" t="s">
        <v>23</v>
      </c>
      <c r="F55" s="79" t="s">
        <v>23</v>
      </c>
      <c r="G55" s="79" t="s">
        <v>23</v>
      </c>
      <c r="H55" s="79" t="s">
        <v>23</v>
      </c>
      <c r="I55" s="79" t="s">
        <v>23</v>
      </c>
      <c r="J55" s="79" t="s">
        <v>23</v>
      </c>
      <c r="K55" s="79" t="s">
        <v>23</v>
      </c>
      <c r="L55" s="79" t="s">
        <v>23</v>
      </c>
      <c r="M55" s="79" t="s">
        <v>23</v>
      </c>
      <c r="N55" s="79" t="s">
        <v>23</v>
      </c>
      <c r="O55" s="79" t="s">
        <v>23</v>
      </c>
      <c r="P55" s="79" t="s">
        <v>23</v>
      </c>
      <c r="Q55" s="79"/>
      <c r="R55" s="79"/>
      <c r="S55" s="79"/>
      <c r="T55" s="79"/>
      <c r="U55" s="79"/>
      <c r="V55" s="79"/>
      <c r="W55" s="79"/>
    </row>
    <row r="56" spans="1:23" x14ac:dyDescent="0.25">
      <c r="A56" s="91" t="s">
        <v>138</v>
      </c>
      <c r="B56" s="79" t="s">
        <v>23</v>
      </c>
      <c r="C56" s="79" t="s">
        <v>23</v>
      </c>
      <c r="D56" s="79" t="s">
        <v>23</v>
      </c>
      <c r="E56" s="79" t="s">
        <v>23</v>
      </c>
      <c r="F56" s="79" t="s">
        <v>23</v>
      </c>
      <c r="G56" s="79" t="s">
        <v>23</v>
      </c>
      <c r="H56" s="79" t="s">
        <v>23</v>
      </c>
      <c r="I56" s="79" t="s">
        <v>23</v>
      </c>
      <c r="J56" s="79" t="s">
        <v>23</v>
      </c>
      <c r="K56" s="79" t="s">
        <v>23</v>
      </c>
      <c r="L56" s="79" t="s">
        <v>23</v>
      </c>
      <c r="M56" s="79" t="s">
        <v>23</v>
      </c>
      <c r="N56" s="79" t="s">
        <v>23</v>
      </c>
      <c r="O56" s="79" t="s">
        <v>23</v>
      </c>
      <c r="P56" s="79" t="s">
        <v>23</v>
      </c>
      <c r="Q56" s="79"/>
      <c r="R56" s="79"/>
      <c r="S56" s="79"/>
      <c r="T56" s="79"/>
      <c r="U56" s="79"/>
      <c r="V56" s="79"/>
      <c r="W56" s="79"/>
    </row>
    <row r="57" spans="1:23" x14ac:dyDescent="0.25">
      <c r="A57" s="20" t="s">
        <v>190</v>
      </c>
      <c r="B57" s="10" t="s">
        <v>23</v>
      </c>
      <c r="C57" s="10" t="s">
        <v>23</v>
      </c>
      <c r="D57" s="10" t="s">
        <v>23</v>
      </c>
      <c r="E57" s="10" t="s">
        <v>23</v>
      </c>
      <c r="F57" s="10" t="s">
        <v>24</v>
      </c>
      <c r="G57" s="10" t="s">
        <v>24</v>
      </c>
      <c r="H57" s="10" t="s">
        <v>24</v>
      </c>
      <c r="I57" s="10" t="s">
        <v>24</v>
      </c>
      <c r="J57" s="10" t="s">
        <v>24</v>
      </c>
      <c r="K57" s="10" t="s">
        <v>24</v>
      </c>
      <c r="L57" s="10" t="s">
        <v>24</v>
      </c>
      <c r="M57" s="10" t="s">
        <v>24</v>
      </c>
      <c r="N57" s="10" t="s">
        <v>24</v>
      </c>
      <c r="O57" s="10" t="s">
        <v>24</v>
      </c>
      <c r="P57" s="10" t="s">
        <v>24</v>
      </c>
      <c r="Q57" s="10"/>
      <c r="R57" s="10"/>
      <c r="S57" s="10"/>
      <c r="T57" s="10"/>
      <c r="U57" s="10"/>
      <c r="V57" s="10"/>
      <c r="W57" s="10"/>
    </row>
    <row r="58" spans="1:23" x14ac:dyDescent="0.25">
      <c r="A58" s="110" t="s">
        <v>189</v>
      </c>
      <c r="B58" s="79" t="s">
        <v>23</v>
      </c>
      <c r="C58" s="79" t="s">
        <v>23</v>
      </c>
      <c r="D58" s="79" t="s">
        <v>23</v>
      </c>
      <c r="E58" s="79" t="s">
        <v>23</v>
      </c>
      <c r="F58" s="79" t="s">
        <v>23</v>
      </c>
      <c r="G58" s="79" t="s">
        <v>23</v>
      </c>
      <c r="H58" s="79" t="s">
        <v>23</v>
      </c>
      <c r="I58" s="79" t="s">
        <v>23</v>
      </c>
      <c r="J58" s="79" t="s">
        <v>23</v>
      </c>
      <c r="K58" s="79" t="s">
        <v>23</v>
      </c>
      <c r="L58" s="94" t="s">
        <v>23</v>
      </c>
      <c r="M58" s="94" t="s">
        <v>23</v>
      </c>
      <c r="N58" s="94" t="s">
        <v>24</v>
      </c>
      <c r="O58" s="94" t="s">
        <v>24</v>
      </c>
      <c r="P58" s="94" t="s">
        <v>24</v>
      </c>
      <c r="Q58" s="94"/>
      <c r="R58" s="94"/>
      <c r="S58" s="94"/>
      <c r="T58" s="94"/>
      <c r="U58" s="94"/>
      <c r="V58" s="94"/>
      <c r="W58" s="94"/>
    </row>
    <row r="59" spans="1:23" x14ac:dyDescent="0.25">
      <c r="A59" s="110" t="s">
        <v>198</v>
      </c>
      <c r="B59" s="79" t="s">
        <v>23</v>
      </c>
      <c r="C59" s="79" t="s">
        <v>23</v>
      </c>
      <c r="D59" s="79" t="s">
        <v>23</v>
      </c>
      <c r="E59" s="79" t="s">
        <v>23</v>
      </c>
      <c r="F59" s="79" t="s">
        <v>23</v>
      </c>
      <c r="G59" s="79" t="s">
        <v>23</v>
      </c>
      <c r="H59" s="79" t="s">
        <v>23</v>
      </c>
      <c r="I59" s="79" t="s">
        <v>23</v>
      </c>
      <c r="J59" s="79" t="s">
        <v>23</v>
      </c>
      <c r="K59" s="79" t="s">
        <v>23</v>
      </c>
      <c r="L59" s="79" t="s">
        <v>23</v>
      </c>
      <c r="M59" s="79" t="s">
        <v>23</v>
      </c>
      <c r="N59" s="79" t="s">
        <v>23</v>
      </c>
      <c r="O59" s="79" t="s">
        <v>23</v>
      </c>
      <c r="P59" s="79" t="s">
        <v>23</v>
      </c>
      <c r="Q59" s="79"/>
      <c r="R59" s="79"/>
      <c r="S59" s="79"/>
      <c r="T59" s="79"/>
      <c r="U59" s="79"/>
      <c r="V59" s="79"/>
      <c r="W59" s="79"/>
    </row>
    <row r="60" spans="1:23" ht="15.75" thickBot="1" x14ac:dyDescent="0.3"/>
    <row r="61" spans="1:23" x14ac:dyDescent="0.25">
      <c r="A61" s="109" t="s">
        <v>41</v>
      </c>
      <c r="B61" s="111">
        <v>43466</v>
      </c>
      <c r="C61" s="111">
        <v>43467</v>
      </c>
      <c r="D61" s="111">
        <v>43468</v>
      </c>
      <c r="E61" s="111">
        <v>43472</v>
      </c>
      <c r="F61" s="111">
        <v>43473</v>
      </c>
      <c r="G61" s="111">
        <v>43474</v>
      </c>
      <c r="H61" s="111">
        <v>43475</v>
      </c>
      <c r="I61" s="111">
        <v>43476</v>
      </c>
      <c r="J61" s="111">
        <v>43479</v>
      </c>
      <c r="K61" s="111">
        <v>43480</v>
      </c>
      <c r="L61" s="111">
        <v>43481</v>
      </c>
      <c r="M61" s="111">
        <v>43482</v>
      </c>
      <c r="N61" s="111">
        <v>43487</v>
      </c>
      <c r="O61" s="111">
        <v>43488</v>
      </c>
      <c r="P61" s="111">
        <v>43489</v>
      </c>
      <c r="Q61" s="132">
        <v>43569.785187581016</v>
      </c>
      <c r="R61" s="133">
        <v>43569.799186782409</v>
      </c>
      <c r="S61" s="134">
        <v>43569.810181666668</v>
      </c>
      <c r="T61" s="135">
        <v>43570.342235173608</v>
      </c>
      <c r="U61" s="136">
        <v>43570.995490590278</v>
      </c>
      <c r="V61" s="137">
        <v>43572.902243518518</v>
      </c>
      <c r="W61" s="138">
        <v>43572.903652986111</v>
      </c>
    </row>
    <row r="62" spans="1:23" x14ac:dyDescent="0.25">
      <c r="A62" s="91" t="s">
        <v>62</v>
      </c>
      <c r="B62" s="79" t="s">
        <v>23</v>
      </c>
      <c r="C62" s="79" t="s">
        <v>23</v>
      </c>
      <c r="D62" s="79" t="s">
        <v>23</v>
      </c>
      <c r="E62" s="79" t="s">
        <v>23</v>
      </c>
      <c r="F62" s="79" t="s">
        <v>24</v>
      </c>
      <c r="G62" s="79" t="s">
        <v>23</v>
      </c>
      <c r="H62" s="79" t="s">
        <v>23</v>
      </c>
      <c r="I62" s="79" t="s">
        <v>23</v>
      </c>
      <c r="J62" s="79" t="s">
        <v>23</v>
      </c>
      <c r="K62" s="79" t="s">
        <v>23</v>
      </c>
      <c r="L62" s="79" t="s">
        <v>23</v>
      </c>
      <c r="M62" s="79" t="s">
        <v>23</v>
      </c>
      <c r="N62" s="79" t="s">
        <v>24</v>
      </c>
      <c r="O62" s="79" t="s">
        <v>24</v>
      </c>
      <c r="P62" s="79" t="s">
        <v>24</v>
      </c>
      <c r="Q62" t="s">
        <v>23</v>
      </c>
      <c r="R62" t="s">
        <v>23</v>
      </c>
      <c r="S62" t="s">
        <v>23</v>
      </c>
      <c r="T62" t="s">
        <v>23</v>
      </c>
      <c r="U62" t="s">
        <v>23</v>
      </c>
      <c r="V62" t="s">
        <v>23</v>
      </c>
      <c r="W62" t="s">
        <v>23</v>
      </c>
    </row>
    <row r="63" spans="1:23" x14ac:dyDescent="0.25">
      <c r="A63" s="20" t="s">
        <v>2</v>
      </c>
      <c r="B63" s="10" t="s">
        <v>24</v>
      </c>
      <c r="C63" s="10" t="s">
        <v>24</v>
      </c>
      <c r="D63" s="10" t="s">
        <v>24</v>
      </c>
      <c r="E63" s="10" t="s">
        <v>23</v>
      </c>
      <c r="F63" s="10" t="s">
        <v>24</v>
      </c>
      <c r="G63" s="10" t="s">
        <v>23</v>
      </c>
      <c r="H63" s="10" t="s">
        <v>24</v>
      </c>
      <c r="I63" s="10" t="s">
        <v>23</v>
      </c>
      <c r="J63" s="10" t="s">
        <v>24</v>
      </c>
      <c r="K63" s="10" t="s">
        <v>23</v>
      </c>
      <c r="L63" s="10" t="s">
        <v>23</v>
      </c>
      <c r="M63" s="10" t="s">
        <v>23</v>
      </c>
      <c r="N63" s="10" t="s">
        <v>23</v>
      </c>
      <c r="O63" s="10" t="s">
        <v>23</v>
      </c>
      <c r="P63" s="10" t="s">
        <v>23</v>
      </c>
      <c r="Q63" t="s">
        <v>23</v>
      </c>
      <c r="R63" t="s">
        <v>23</v>
      </c>
      <c r="S63" t="s">
        <v>23</v>
      </c>
      <c r="T63" t="s">
        <v>23</v>
      </c>
      <c r="U63" t="s">
        <v>23</v>
      </c>
      <c r="V63" t="s">
        <v>23</v>
      </c>
      <c r="W63" t="s">
        <v>23</v>
      </c>
    </row>
    <row r="64" spans="1:23" x14ac:dyDescent="0.25">
      <c r="A64" s="91" t="s">
        <v>4</v>
      </c>
      <c r="B64" s="79" t="s">
        <v>24</v>
      </c>
      <c r="C64" s="79" t="s">
        <v>24</v>
      </c>
      <c r="D64" s="79" t="s">
        <v>24</v>
      </c>
      <c r="E64" s="79" t="s">
        <v>23</v>
      </c>
      <c r="F64" s="79" t="s">
        <v>24</v>
      </c>
      <c r="G64" s="79" t="s">
        <v>23</v>
      </c>
      <c r="H64" s="79" t="s">
        <v>23</v>
      </c>
      <c r="I64" s="79" t="s">
        <v>23</v>
      </c>
      <c r="J64" s="79" t="s">
        <v>23</v>
      </c>
      <c r="K64" s="79" t="s">
        <v>23</v>
      </c>
      <c r="L64" s="79" t="s">
        <v>23</v>
      </c>
      <c r="M64" s="79" t="s">
        <v>23</v>
      </c>
      <c r="N64" s="79" t="s">
        <v>23</v>
      </c>
      <c r="O64" s="79" t="s">
        <v>24</v>
      </c>
      <c r="P64" s="79" t="s">
        <v>23</v>
      </c>
      <c r="Q64" t="s">
        <v>24</v>
      </c>
      <c r="R64" t="s">
        <v>24</v>
      </c>
      <c r="S64" t="s">
        <v>24</v>
      </c>
      <c r="T64" t="s">
        <v>24</v>
      </c>
      <c r="U64" t="s">
        <v>24</v>
      </c>
      <c r="V64" t="s">
        <v>24</v>
      </c>
      <c r="W64" t="s">
        <v>24</v>
      </c>
    </row>
    <row r="65" spans="1:23" x14ac:dyDescent="0.25">
      <c r="A65" s="20" t="s">
        <v>5</v>
      </c>
      <c r="B65" s="10" t="s">
        <v>24</v>
      </c>
      <c r="C65" s="10" t="s">
        <v>24</v>
      </c>
      <c r="D65" s="10" t="s">
        <v>24</v>
      </c>
      <c r="E65" s="10" t="s">
        <v>24</v>
      </c>
      <c r="F65" s="10" t="s">
        <v>24</v>
      </c>
      <c r="G65" s="10" t="s">
        <v>24</v>
      </c>
      <c r="H65" s="10" t="s">
        <v>24</v>
      </c>
      <c r="I65" s="10" t="s">
        <v>24</v>
      </c>
      <c r="J65" s="10" t="s">
        <v>24</v>
      </c>
      <c r="K65" s="10" t="s">
        <v>24</v>
      </c>
      <c r="L65" s="10" t="s">
        <v>24</v>
      </c>
      <c r="M65" s="10" t="s">
        <v>24</v>
      </c>
      <c r="N65" s="10" t="s">
        <v>23</v>
      </c>
      <c r="O65" s="10" t="s">
        <v>23</v>
      </c>
      <c r="P65" s="10" t="s">
        <v>23</v>
      </c>
      <c r="Q65" t="s">
        <v>24</v>
      </c>
      <c r="R65" t="s">
        <v>24</v>
      </c>
      <c r="S65" t="s">
        <v>24</v>
      </c>
      <c r="T65" t="s">
        <v>24</v>
      </c>
      <c r="U65" t="s">
        <v>24</v>
      </c>
      <c r="V65" t="s">
        <v>24</v>
      </c>
      <c r="W65" t="s">
        <v>24</v>
      </c>
    </row>
    <row r="66" spans="1:23" x14ac:dyDescent="0.25">
      <c r="A66" s="91" t="s">
        <v>92</v>
      </c>
      <c r="B66" s="79" t="s">
        <v>23</v>
      </c>
      <c r="C66" s="79" t="s">
        <v>23</v>
      </c>
      <c r="D66" s="79" t="s">
        <v>23</v>
      </c>
      <c r="E66" s="79" t="s">
        <v>23</v>
      </c>
      <c r="F66" s="79" t="s">
        <v>24</v>
      </c>
      <c r="G66" s="79" t="s">
        <v>24</v>
      </c>
      <c r="H66" s="79" t="s">
        <v>23</v>
      </c>
      <c r="I66" s="79" t="s">
        <v>23</v>
      </c>
      <c r="J66" s="79" t="s">
        <v>23</v>
      </c>
      <c r="K66" s="79" t="s">
        <v>23</v>
      </c>
      <c r="L66" s="79" t="s">
        <v>23</v>
      </c>
      <c r="M66" s="79" t="s">
        <v>23</v>
      </c>
      <c r="N66" s="79" t="s">
        <v>24</v>
      </c>
      <c r="O66" s="79" t="s">
        <v>23</v>
      </c>
      <c r="P66" s="79" t="s">
        <v>23</v>
      </c>
      <c r="Q66" t="s">
        <v>24</v>
      </c>
      <c r="R66" t="s">
        <v>24</v>
      </c>
      <c r="S66" t="s">
        <v>24</v>
      </c>
      <c r="T66" t="s">
        <v>24</v>
      </c>
      <c r="U66" t="s">
        <v>24</v>
      </c>
      <c r="V66" t="s">
        <v>24</v>
      </c>
      <c r="W66" t="s">
        <v>24</v>
      </c>
    </row>
    <row r="67" spans="1:23" x14ac:dyDescent="0.25">
      <c r="A67" s="20" t="s">
        <v>99</v>
      </c>
      <c r="B67" s="10" t="s">
        <v>23</v>
      </c>
      <c r="C67" s="10" t="s">
        <v>23</v>
      </c>
      <c r="D67" s="10" t="s">
        <v>23</v>
      </c>
      <c r="E67" s="10" t="s">
        <v>23</v>
      </c>
      <c r="F67" s="10" t="s">
        <v>23</v>
      </c>
      <c r="G67" s="10" t="s">
        <v>23</v>
      </c>
      <c r="H67" s="10" t="s">
        <v>23</v>
      </c>
      <c r="I67" s="10" t="s">
        <v>23</v>
      </c>
      <c r="J67" s="10" t="s">
        <v>23</v>
      </c>
      <c r="K67" s="10" t="s">
        <v>23</v>
      </c>
      <c r="L67" s="10" t="s">
        <v>23</v>
      </c>
      <c r="M67" s="10" t="s">
        <v>23</v>
      </c>
      <c r="N67" s="10" t="s">
        <v>23</v>
      </c>
      <c r="O67" s="10" t="s">
        <v>23</v>
      </c>
      <c r="P67" s="10" t="s">
        <v>24</v>
      </c>
    </row>
    <row r="68" spans="1:23" x14ac:dyDescent="0.25">
      <c r="A68" s="91" t="s">
        <v>98</v>
      </c>
      <c r="B68" s="79" t="s">
        <v>23</v>
      </c>
      <c r="C68" s="79" t="s">
        <v>23</v>
      </c>
      <c r="D68" s="79" t="s">
        <v>23</v>
      </c>
      <c r="E68" s="79" t="s">
        <v>23</v>
      </c>
      <c r="F68" s="79" t="s">
        <v>23</v>
      </c>
      <c r="G68" s="79" t="s">
        <v>23</v>
      </c>
      <c r="H68" s="79" t="s">
        <v>23</v>
      </c>
      <c r="I68" s="79" t="s">
        <v>23</v>
      </c>
      <c r="J68" s="79" t="s">
        <v>23</v>
      </c>
      <c r="K68" s="79" t="s">
        <v>23</v>
      </c>
      <c r="L68" s="79" t="s">
        <v>23</v>
      </c>
      <c r="M68" s="79" t="s">
        <v>23</v>
      </c>
      <c r="N68" s="79" t="s">
        <v>23</v>
      </c>
      <c r="O68" s="79" t="s">
        <v>23</v>
      </c>
      <c r="P68" s="79" t="s">
        <v>23</v>
      </c>
    </row>
    <row r="69" spans="1:23" x14ac:dyDescent="0.25">
      <c r="A69" s="91" t="s">
        <v>138</v>
      </c>
      <c r="B69" s="79" t="s">
        <v>23</v>
      </c>
      <c r="C69" s="79" t="s">
        <v>23</v>
      </c>
      <c r="D69" s="79" t="s">
        <v>23</v>
      </c>
      <c r="E69" s="79" t="s">
        <v>23</v>
      </c>
      <c r="F69" s="79" t="s">
        <v>23</v>
      </c>
      <c r="G69" s="79" t="s">
        <v>23</v>
      </c>
      <c r="H69" s="79" t="s">
        <v>23</v>
      </c>
      <c r="I69" s="79" t="s">
        <v>23</v>
      </c>
      <c r="J69" s="79" t="s">
        <v>23</v>
      </c>
      <c r="K69" s="79" t="s">
        <v>23</v>
      </c>
      <c r="L69" s="79" t="s">
        <v>23</v>
      </c>
      <c r="M69" s="79" t="s">
        <v>23</v>
      </c>
      <c r="N69" s="79" t="s">
        <v>23</v>
      </c>
      <c r="O69" s="79" t="s">
        <v>23</v>
      </c>
      <c r="P69" s="79" t="s">
        <v>23</v>
      </c>
    </row>
    <row r="70" spans="1:23" x14ac:dyDescent="0.25">
      <c r="A70" s="20" t="s">
        <v>190</v>
      </c>
      <c r="B70" s="10" t="s">
        <v>24</v>
      </c>
      <c r="C70" s="10" t="s">
        <v>24</v>
      </c>
      <c r="D70" s="10" t="s">
        <v>24</v>
      </c>
      <c r="E70" s="10" t="s">
        <v>24</v>
      </c>
      <c r="F70" s="10" t="s">
        <v>24</v>
      </c>
      <c r="G70" s="10" t="s">
        <v>24</v>
      </c>
      <c r="H70" s="10" t="s">
        <v>24</v>
      </c>
      <c r="I70" s="10" t="s">
        <v>23</v>
      </c>
      <c r="J70" s="10" t="s">
        <v>23</v>
      </c>
      <c r="K70" s="10" t="s">
        <v>23</v>
      </c>
      <c r="L70" s="10" t="s">
        <v>23</v>
      </c>
      <c r="M70" s="10" t="s">
        <v>23</v>
      </c>
      <c r="N70" s="10" t="s">
        <v>23</v>
      </c>
      <c r="O70" s="10" t="s">
        <v>23</v>
      </c>
      <c r="P70" s="10" t="s">
        <v>23</v>
      </c>
    </row>
    <row r="71" spans="1:23" x14ac:dyDescent="0.25">
      <c r="A71" s="110" t="s">
        <v>189</v>
      </c>
      <c r="B71" s="94" t="s">
        <v>24</v>
      </c>
      <c r="C71" s="94" t="s">
        <v>24</v>
      </c>
      <c r="D71" s="94" t="s">
        <v>24</v>
      </c>
      <c r="E71" s="94" t="s">
        <v>24</v>
      </c>
      <c r="F71" s="79" t="s">
        <v>209</v>
      </c>
      <c r="G71" s="79" t="s">
        <v>24</v>
      </c>
      <c r="H71" s="79" t="s">
        <v>24</v>
      </c>
      <c r="I71" s="79" t="s">
        <v>24</v>
      </c>
      <c r="J71" s="79" t="s">
        <v>24</v>
      </c>
      <c r="K71" s="79" t="s">
        <v>24</v>
      </c>
      <c r="L71" s="79" t="s">
        <v>24</v>
      </c>
      <c r="M71" s="79" t="s">
        <v>23</v>
      </c>
      <c r="N71" s="79" t="s">
        <v>23</v>
      </c>
      <c r="O71" s="79" t="s">
        <v>23</v>
      </c>
      <c r="P71" s="79" t="s">
        <v>23</v>
      </c>
    </row>
    <row r="72" spans="1:23" x14ac:dyDescent="0.25">
      <c r="A72" s="110" t="s">
        <v>198</v>
      </c>
      <c r="B72" s="79" t="s">
        <v>23</v>
      </c>
      <c r="C72" s="79" t="s">
        <v>23</v>
      </c>
      <c r="D72" s="79" t="s">
        <v>23</v>
      </c>
      <c r="E72" s="79" t="s">
        <v>23</v>
      </c>
      <c r="F72" s="79" t="s">
        <v>23</v>
      </c>
      <c r="G72" s="79" t="s">
        <v>23</v>
      </c>
      <c r="H72" s="79" t="s">
        <v>23</v>
      </c>
      <c r="I72" s="79" t="s">
        <v>23</v>
      </c>
      <c r="J72" s="79" t="s">
        <v>23</v>
      </c>
      <c r="K72" s="79" t="s">
        <v>23</v>
      </c>
      <c r="L72" s="79" t="s">
        <v>23</v>
      </c>
      <c r="M72" s="79" t="s">
        <v>23</v>
      </c>
      <c r="N72" s="79" t="s">
        <v>23</v>
      </c>
      <c r="O72" s="79" t="s">
        <v>23</v>
      </c>
      <c r="P72" s="79" t="s">
        <v>23</v>
      </c>
    </row>
    <row r="73" spans="1:23" x14ac:dyDescent="0.25">
      <c r="A73" s="110" t="str">
        <f>'VAL12'!C1</f>
        <v>VAL12: Processos no estado CHECKRS</v>
      </c>
      <c r="B73" s="79" t="s">
        <v>23</v>
      </c>
      <c r="C73" s="79" t="s">
        <v>23</v>
      </c>
      <c r="D73" s="79" t="s">
        <v>23</v>
      </c>
      <c r="E73" s="79" t="s">
        <v>23</v>
      </c>
      <c r="F73" s="79" t="s">
        <v>23</v>
      </c>
      <c r="G73" s="79" t="s">
        <v>23</v>
      </c>
      <c r="H73" s="79" t="s">
        <v>23</v>
      </c>
      <c r="I73" s="79" t="s">
        <v>23</v>
      </c>
      <c r="J73" s="79" t="s">
        <v>23</v>
      </c>
      <c r="K73" s="79" t="s">
        <v>23</v>
      </c>
      <c r="L73" s="79" t="s">
        <v>23</v>
      </c>
      <c r="M73" s="79" t="s">
        <v>23</v>
      </c>
      <c r="N73" s="79" t="s">
        <v>23</v>
      </c>
      <c r="O73" s="79" t="s">
        <v>23</v>
      </c>
      <c r="P73" s="79" t="s">
        <v>23</v>
      </c>
    </row>
    <row r="79" spans="1:23" x14ac:dyDescent="0.25">
      <c r="A79" t="s">
        <v>281</v>
      </c>
      <c r="B79" s="131"/>
      <c r="E79" s="131"/>
    </row>
  </sheetData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" id="{6167FD81-3919-49F3-91F9-D40E10A309C2}">
            <x14:iconSet iconSet="3Symbol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0"/>
              <x14:cfIcon iconSet="3Symbols" iconId="0"/>
              <x14:cfIcon iconSet="3Symbols" iconId="2"/>
            </x14:iconSet>
          </x14:cfRule>
          <xm:sqref>B2:B5</xm:sqref>
        </x14:conditionalFormatting>
        <x14:conditionalFormatting xmlns:xm="http://schemas.microsoft.com/office/excel/2006/main">
          <x14:cfRule type="iconSet" priority="14" id="{14CD22E3-23BA-4BE8-BA01-53CCFB9BEFAF}">
            <x14:iconSet iconSet="3Symbol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0"/>
              <x14:cfIcon iconSet="3Symbols" iconId="0"/>
              <x14:cfIcon iconSet="3Symbols" iconId="2"/>
            </x14:iconSet>
          </x14:cfRule>
          <xm:sqref>B8:B14</xm:sqref>
        </x14:conditionalFormatting>
        <x14:conditionalFormatting xmlns:xm="http://schemas.microsoft.com/office/excel/2006/main">
          <x14:cfRule type="iconSet" priority="13" id="{97A9FD4C-422A-4D7D-BBE7-0AE9193348E1}">
            <x14:iconSet iconSet="3Symbol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0"/>
              <x14:cfIcon iconSet="3Symbols" iconId="0"/>
              <x14:cfIcon iconSet="3Symbols" iconId="2"/>
            </x14:iconSet>
          </x14:cfRule>
          <xm:sqref>B17:B24</xm:sqref>
        </x14:conditionalFormatting>
        <x14:conditionalFormatting xmlns:xm="http://schemas.microsoft.com/office/excel/2006/main">
          <x14:cfRule type="iconSet" priority="12" id="{B432A4AB-7BD8-4804-AA65-7111C722BA88}">
            <x14:iconSet iconSet="3Symbol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0"/>
              <x14:cfIcon iconSet="3Symbols" iconId="0"/>
              <x14:cfIcon iconSet="3Symbols" iconId="2"/>
            </x14:iconSet>
          </x14:cfRule>
          <xm:sqref>B24</xm:sqref>
        </x14:conditionalFormatting>
        <x14:conditionalFormatting xmlns:xm="http://schemas.microsoft.com/office/excel/2006/main">
          <x14:cfRule type="iconSet" priority="11" id="{20D26C8E-A593-449E-B330-D643820780DE}">
            <x14:iconSet iconSet="3Symbol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0"/>
              <x14:cfIcon iconSet="3Symbols" iconId="0"/>
              <x14:cfIcon iconSet="3Symbols" iconId="2"/>
            </x14:iconSet>
          </x14:cfRule>
          <xm:sqref>B27:R34</xm:sqref>
        </x14:conditionalFormatting>
        <x14:conditionalFormatting xmlns:xm="http://schemas.microsoft.com/office/excel/2006/main">
          <x14:cfRule type="iconSet" priority="10" id="{4742F4A7-CBF5-4D19-B6E4-00A5E510FB2B}">
            <x14:iconSet iconSet="3Symbol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0"/>
              <x14:cfIcon iconSet="3Symbols" iconId="0"/>
              <x14:cfIcon iconSet="3Symbols" iconId="2"/>
            </x14:iconSet>
          </x14:cfRule>
          <xm:sqref>B34:R34</xm:sqref>
        </x14:conditionalFormatting>
        <x14:conditionalFormatting xmlns:xm="http://schemas.microsoft.com/office/excel/2006/main">
          <x14:cfRule type="iconSet" priority="9" id="{5A08DCF4-06BA-4D3C-B6C4-F66535C1894E}">
            <x14:iconSet iconSet="3Symbol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0"/>
              <x14:cfIcon iconSet="3Symbols" iconId="0"/>
              <x14:cfIcon iconSet="3Symbols" iconId="2"/>
            </x14:iconSet>
          </x14:cfRule>
          <xm:sqref>S27:W34</xm:sqref>
        </x14:conditionalFormatting>
        <x14:conditionalFormatting xmlns:xm="http://schemas.microsoft.com/office/excel/2006/main">
          <x14:cfRule type="iconSet" priority="8" id="{65E8AA1C-B374-4762-8825-43FEA63ED523}">
            <x14:iconSet iconSet="3Symbol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0"/>
              <x14:cfIcon iconSet="3Symbols" iconId="0"/>
              <x14:cfIcon iconSet="3Symbols" iconId="2"/>
            </x14:iconSet>
          </x14:cfRule>
          <xm:sqref>S34:W34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4"/>
  <dimension ref="A1:J19"/>
  <sheetViews>
    <sheetView workbookViewId="0">
      <selection activeCell="J15" sqref="J15"/>
    </sheetView>
  </sheetViews>
  <sheetFormatPr defaultRowHeight="15" x14ac:dyDescent="0.25"/>
  <cols>
    <col min="1" max="1" width="17.5703125" bestFit="1" customWidth="1" collapsed="1"/>
    <col min="2" max="2" width="10.140625" customWidth="1" collapsed="1"/>
    <col min="5" max="5" width="19.85546875" bestFit="1" customWidth="1" collapsed="1"/>
    <col min="6" max="6" width="11.140625" customWidth="1" collapsed="1"/>
    <col min="9" max="9" width="21.140625" bestFit="1" customWidth="1" collapsed="1"/>
    <col min="10" max="10" width="11.42578125" bestFit="1" customWidth="1" collapsed="1"/>
  </cols>
  <sheetData>
    <row r="1" spans="1:10" ht="15.75" thickBot="1" x14ac:dyDescent="0.3">
      <c r="A1" s="39" t="s">
        <v>35</v>
      </c>
      <c r="E1" s="39" t="s">
        <v>33</v>
      </c>
      <c r="I1" s="39" t="s">
        <v>37</v>
      </c>
    </row>
    <row r="2" spans="1:10" x14ac:dyDescent="0.25">
      <c r="A2" t="s">
        <v>27</v>
      </c>
      <c r="B2" t="s">
        <v>22</v>
      </c>
      <c r="C2" t="s">
        <v>26</v>
      </c>
      <c r="E2" t="s">
        <v>0</v>
      </c>
      <c r="F2" t="s">
        <v>34</v>
      </c>
      <c r="I2" t="s">
        <v>0</v>
      </c>
      <c r="J2" t="s">
        <v>34</v>
      </c>
    </row>
    <row r="3" spans="1:10" x14ac:dyDescent="0.25">
      <c r="A3">
        <v>2</v>
      </c>
      <c r="B3" t="s">
        <v>23</v>
      </c>
      <c r="C3">
        <v>2</v>
      </c>
      <c r="E3" s="74" t="s">
        <v>84</v>
      </c>
      <c r="F3">
        <v>5000</v>
      </c>
      <c r="I3" s="76" t="s">
        <v>84</v>
      </c>
      <c r="J3">
        <v>5000</v>
      </c>
    </row>
    <row r="4" spans="1:10" x14ac:dyDescent="0.25">
      <c r="A4">
        <v>1</v>
      </c>
      <c r="B4" t="s">
        <v>24</v>
      </c>
      <c r="C4">
        <v>1</v>
      </c>
      <c r="E4" s="74" t="s">
        <v>89</v>
      </c>
      <c r="F4">
        <v>200</v>
      </c>
      <c r="I4" s="74" t="s">
        <v>89</v>
      </c>
      <c r="J4">
        <v>100</v>
      </c>
    </row>
    <row r="5" spans="1:10" x14ac:dyDescent="0.25">
      <c r="E5" s="74" t="s">
        <v>67</v>
      </c>
      <c r="F5">
        <v>500</v>
      </c>
      <c r="I5" s="74" t="s">
        <v>67</v>
      </c>
      <c r="J5">
        <v>500</v>
      </c>
    </row>
    <row r="6" spans="1:10" x14ac:dyDescent="0.25">
      <c r="E6" s="74" t="s">
        <v>87</v>
      </c>
      <c r="F6">
        <v>100</v>
      </c>
      <c r="I6" s="76" t="s">
        <v>85</v>
      </c>
      <c r="J6">
        <v>5000</v>
      </c>
    </row>
    <row r="7" spans="1:10" x14ac:dyDescent="0.25">
      <c r="E7" s="74" t="s">
        <v>94</v>
      </c>
      <c r="F7">
        <v>5</v>
      </c>
      <c r="I7" s="74" t="s">
        <v>68</v>
      </c>
      <c r="J7">
        <v>300</v>
      </c>
    </row>
    <row r="8" spans="1:10" x14ac:dyDescent="0.25">
      <c r="E8" s="74" t="s">
        <v>91</v>
      </c>
      <c r="F8">
        <v>200</v>
      </c>
      <c r="I8" s="74" t="s">
        <v>87</v>
      </c>
      <c r="J8">
        <v>250</v>
      </c>
    </row>
    <row r="9" spans="1:10" x14ac:dyDescent="0.25">
      <c r="E9" s="74" t="s">
        <v>116</v>
      </c>
      <c r="F9">
        <v>10</v>
      </c>
      <c r="I9" s="76" t="s">
        <v>86</v>
      </c>
      <c r="J9">
        <v>200</v>
      </c>
    </row>
    <row r="10" spans="1:10" x14ac:dyDescent="0.25">
      <c r="E10" s="74" t="s">
        <v>141</v>
      </c>
      <c r="F10">
        <v>20</v>
      </c>
      <c r="I10" s="74" t="s">
        <v>88</v>
      </c>
      <c r="J10">
        <v>100</v>
      </c>
    </row>
    <row r="11" spans="1:10" x14ac:dyDescent="0.25">
      <c r="E11" s="74" t="s">
        <v>142</v>
      </c>
      <c r="F11">
        <v>15</v>
      </c>
      <c r="I11" s="76" t="s">
        <v>91</v>
      </c>
      <c r="J11">
        <v>205</v>
      </c>
    </row>
    <row r="12" spans="1:10" x14ac:dyDescent="0.25">
      <c r="E12" s="75" t="s">
        <v>140</v>
      </c>
      <c r="F12">
        <v>10</v>
      </c>
      <c r="I12" s="75"/>
    </row>
    <row r="13" spans="1:10" x14ac:dyDescent="0.25">
      <c r="E13" s="75" t="s">
        <v>176</v>
      </c>
      <c r="F13">
        <v>200</v>
      </c>
      <c r="I13" s="75"/>
    </row>
    <row r="14" spans="1:10" x14ac:dyDescent="0.25">
      <c r="E14" s="74" t="s">
        <v>184</v>
      </c>
      <c r="F14">
        <v>20</v>
      </c>
      <c r="I14" s="15" t="s">
        <v>36</v>
      </c>
      <c r="J14">
        <v>30</v>
      </c>
    </row>
    <row r="15" spans="1:10" x14ac:dyDescent="0.25">
      <c r="E15" s="75" t="s">
        <v>204</v>
      </c>
      <c r="F15">
        <v>20</v>
      </c>
    </row>
    <row r="16" spans="1:10" x14ac:dyDescent="0.25">
      <c r="E16" s="75"/>
    </row>
    <row r="17" spans="5:6" x14ac:dyDescent="0.25">
      <c r="E17" s="75"/>
    </row>
    <row r="18" spans="5:6" x14ac:dyDescent="0.25">
      <c r="E18" s="75"/>
    </row>
    <row r="19" spans="5:6" x14ac:dyDescent="0.25">
      <c r="E19" s="15" t="s">
        <v>36</v>
      </c>
      <c r="F19">
        <v>5</v>
      </c>
    </row>
  </sheetData>
  <conditionalFormatting sqref="E3">
    <cfRule type="expression" dxfId="140" priority="17">
      <formula>$E3="NOK"</formula>
    </cfRule>
  </conditionalFormatting>
  <conditionalFormatting sqref="E6">
    <cfRule type="expression" dxfId="139" priority="16">
      <formula>$E6="NOK"</formula>
    </cfRule>
  </conditionalFormatting>
  <conditionalFormatting sqref="I3">
    <cfRule type="expression" dxfId="138" priority="14">
      <formula>$D3="NOK"</formula>
    </cfRule>
  </conditionalFormatting>
  <conditionalFormatting sqref="I9">
    <cfRule type="expression" dxfId="137" priority="13">
      <formula>$D9="NOK"</formula>
    </cfRule>
  </conditionalFormatting>
  <conditionalFormatting sqref="I10">
    <cfRule type="expression" dxfId="136" priority="10">
      <formula>$J10="NOK"</formula>
    </cfRule>
  </conditionalFormatting>
  <conditionalFormatting sqref="I6">
    <cfRule type="expression" dxfId="135" priority="9">
      <formula>$D6="NOK"</formula>
    </cfRule>
  </conditionalFormatting>
  <conditionalFormatting sqref="E7">
    <cfRule type="expression" dxfId="134" priority="8">
      <formula>$G7="NOK"</formula>
    </cfRule>
  </conditionalFormatting>
  <conditionalFormatting sqref="I7">
    <cfRule type="expression" dxfId="133" priority="7">
      <formula>$D7="NOK"</formula>
    </cfRule>
  </conditionalFormatting>
  <conditionalFormatting sqref="E8">
    <cfRule type="expression" dxfId="132" priority="6">
      <formula>$G8="NOK"</formula>
    </cfRule>
  </conditionalFormatting>
  <conditionalFormatting sqref="I11">
    <cfRule type="expression" dxfId="131" priority="5">
      <formula>$J11="NOK"</formula>
    </cfRule>
  </conditionalFormatting>
  <conditionalFormatting sqref="E9">
    <cfRule type="expression" dxfId="130" priority="4">
      <formula>$G9="NOK"</formula>
    </cfRule>
  </conditionalFormatting>
  <conditionalFormatting sqref="I8">
    <cfRule type="expression" dxfId="129" priority="3">
      <formula>$J8="NOK"</formula>
    </cfRule>
  </conditionalFormatting>
  <conditionalFormatting sqref="E10:E11">
    <cfRule type="expression" dxfId="128" priority="2">
      <formula>$G10="NOK"</formula>
    </cfRule>
  </conditionalFormatting>
  <conditionalFormatting sqref="E14">
    <cfRule type="expression" dxfId="127" priority="1">
      <formula>$G14="NOK"</formula>
    </cfRule>
  </conditionalFormatting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4" id="{2CCADED1-888C-45D6-BB6C-189207BADE47}">
            <x14:iconSet iconSet="3Symbols2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A3:A4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5"/>
  <dimension ref="A1:T45"/>
  <sheetViews>
    <sheetView zoomScaleNormal="100" workbookViewId="0">
      <selection activeCell="A4" sqref="A4:D18"/>
    </sheetView>
  </sheetViews>
  <sheetFormatPr defaultRowHeight="15" x14ac:dyDescent="0.25"/>
  <cols>
    <col min="1" max="1" width="8.85546875" bestFit="1" customWidth="1" collapsed="1"/>
    <col min="2" max="2" width="8.140625" bestFit="1" customWidth="1" collapsed="1"/>
    <col min="3" max="3" width="11.140625" customWidth="1" collapsed="1"/>
    <col min="4" max="4" width="43.140625" customWidth="1" collapsed="1"/>
    <col min="5" max="5" width="31.5703125" style="106" bestFit="1" customWidth="1" collapsed="1"/>
    <col min="6" max="6" width="13" bestFit="1" customWidth="1" collapsed="1"/>
    <col min="7" max="7" width="11.140625" bestFit="1" customWidth="1" collapsed="1"/>
    <col min="10" max="10" width="21.5703125" bestFit="1" customWidth="1" collapsed="1"/>
  </cols>
  <sheetData>
    <row r="1" spans="1:20" ht="17.25" x14ac:dyDescent="0.3">
      <c r="A1" s="143" t="s">
        <v>62</v>
      </c>
      <c r="B1" s="144"/>
      <c r="C1" s="144"/>
      <c r="D1" s="145"/>
      <c r="E1" s="30" t="s">
        <v>25</v>
      </c>
      <c r="F1" s="29" t="str">
        <f>IF(ISERROR(VLOOKUP("NOK",TblVal1[2001-01-13 00:00:00.0],1,FALSE)),"OK","NOK")</f>
        <v>OK</v>
      </c>
    </row>
    <row r="2" spans="1:20" ht="18" thickBot="1" x14ac:dyDescent="0.35">
      <c r="A2" s="40"/>
      <c r="B2" s="41"/>
      <c r="C2" s="41"/>
      <c r="D2" s="42"/>
      <c r="E2" s="36"/>
    </row>
    <row r="3" spans="1:20" ht="15.75" thickBot="1" x14ac:dyDescent="0.3">
      <c r="A3" s="2" t="s">
        <v>3</v>
      </c>
      <c r="B3" s="3" t="s">
        <v>65</v>
      </c>
      <c r="C3" s="3" t="s">
        <v>63</v>
      </c>
      <c r="D3" s="3" t="s">
        <v>0</v>
      </c>
      <c r="E3" s="108" t="s">
        <v>64</v>
      </c>
      <c r="F3" s="21" t="s">
        <v>276</v>
      </c>
      <c r="G3" s="3" t="s">
        <v>216</v>
      </c>
      <c r="J3" s="56" t="s">
        <v>42</v>
      </c>
      <c r="K3" s="57" t="s">
        <v>40</v>
      </c>
      <c r="L3" s="57" t="s">
        <v>49</v>
      </c>
      <c r="M3" s="57" t="s">
        <v>50</v>
      </c>
      <c r="N3" s="57" t="s">
        <v>51</v>
      </c>
      <c r="O3" s="57" t="s">
        <v>52</v>
      </c>
      <c r="P3" s="57" t="s">
        <v>53</v>
      </c>
      <c r="Q3" s="57" t="s">
        <v>58</v>
      </c>
      <c r="R3" s="57" t="s">
        <v>59</v>
      </c>
      <c r="S3" s="57" t="s">
        <v>60</v>
      </c>
      <c r="T3" s="57" t="s">
        <v>70</v>
      </c>
    </row>
    <row r="4" spans="1:20" x14ac:dyDescent="0.25">
      <c r="A4" s="6"/>
      <c r="B4" s="6"/>
      <c r="C4" s="6"/>
      <c r="D4" s="7"/>
      <c r="E4" s="6" t="s">
        <v>208</v>
      </c>
      <c r="F4" s="54">
        <f>IF(TblVal1[[#This Row],[2001-01-13 00:00:00.0]]="NOK",IF(ISERROR(VLOOKUP(TblVal1[[#This Row],[BO]],ThresNoVal[],2,FALSE)),IF(TblVal1[[#This Row],[Msgs]]&gt;VLOOKUP("Default",ThresNoVal[],2,FALSE), (VLOOKUP("Default",ThresNoVal[],2,FALSE)/TblVal1[[#This Row],[Msgs]]), 0),(VLOOKUP(TblVal1[[#This Row],[BO]],ThresNoVal[],2,FALSE)/TblVal1[[#This Row],[Msgs]])),0)</f>
        <v>0</v>
      </c>
      <c r="G4" s="6" t="str">
        <f>IF(ISERROR(VLOOKUP(TblVal1[[#This Row],[BO]],ThresNoVal[],2,FALSE)),IF(TblVal1[[#This Row],[Msgs]]&gt;VLOOKUP("Default",ThresNoVal[],2,FALSE), "NOK", "OK"),IF(TblVal1[[#This Row],[Msgs]]&gt;VLOOKUP(TblVal1[[#This Row],[BO]],ThresNoVal[],2,FALSE), "NOK", "OK"))</f>
        <v>OK</v>
      </c>
      <c r="J4" s="15" t="s">
        <v>84</v>
      </c>
      <c r="K4" s="14">
        <v>2572</v>
      </c>
      <c r="M4">
        <v>201</v>
      </c>
      <c r="N4">
        <v>1426</v>
      </c>
      <c r="O4">
        <v>5257</v>
      </c>
      <c r="Q4">
        <v>9786</v>
      </c>
      <c r="R4">
        <v>1428</v>
      </c>
    </row>
    <row r="5" spans="1:20" x14ac:dyDescent="0.25">
      <c r="A5" s="6"/>
      <c r="B5" s="6"/>
      <c r="C5" s="6"/>
      <c r="D5" s="7"/>
      <c r="E5" s="6" t="s">
        <v>207</v>
      </c>
      <c r="F5" s="54">
        <f>IF(TblVal1[[#This Row],[2001-01-13 00:00:00.0]]="NOK",IF(ISERROR(VLOOKUP(TblVal1[[#This Row],[BO]],ThresNoVal[],2,FALSE)),IF(TblVal1[[#This Row],[Msgs]]&gt;VLOOKUP("Default",ThresNoVal[],2,FALSE), (VLOOKUP("Default",ThresNoVal[],2,FALSE)/TblVal1[[#This Row],[Msgs]]), 0),(VLOOKUP(TblVal1[[#This Row],[BO]],ThresNoVal[],2,FALSE)/TblVal1[[#This Row],[Msgs]])),0)</f>
        <v>0</v>
      </c>
      <c r="G5" s="6" t="str">
        <f>IF(ISERROR(VLOOKUP(TblVal1[[#This Row],[BO]],ThresNoVal[],2,FALSE)),IF(TblVal1[[#This Row],[Msgs]]&gt;VLOOKUP("Default",ThresNoVal[],2,FALSE), "NOK", "OK"),IF(TblVal1[[#This Row],[Msgs]]&gt;VLOOKUP(TblVal1[[#This Row],[BO]],ThresNoVal[],2,FALSE), "NOK", "OK"))</f>
        <v>OK</v>
      </c>
      <c r="J5" s="15" t="s">
        <v>87</v>
      </c>
      <c r="K5" s="14">
        <v>145</v>
      </c>
      <c r="Q5">
        <v>56</v>
      </c>
      <c r="R5">
        <v>11</v>
      </c>
    </row>
    <row r="6" spans="1:20" x14ac:dyDescent="0.25">
      <c r="A6" s="6"/>
      <c r="B6" s="6"/>
      <c r="C6" s="6"/>
      <c r="D6" s="7"/>
      <c r="E6" s="6" t="s">
        <v>208</v>
      </c>
      <c r="F6" s="54">
        <f>IF(TblVal1[[#This Row],[2001-01-13 00:00:00.0]]="NOK",IF(ISERROR(VLOOKUP(TblVal1[[#This Row],[BO]],ThresNoVal[],2,FALSE)),IF(TblVal1[[#This Row],[Msgs]]&gt;VLOOKUP("Default",ThresNoVal[],2,FALSE), (VLOOKUP("Default",ThresNoVal[],2,FALSE)/TblVal1[[#This Row],[Msgs]]), 0),(VLOOKUP(TblVal1[[#This Row],[BO]],ThresNoVal[],2,FALSE)/TblVal1[[#This Row],[Msgs]])),0)</f>
        <v>0</v>
      </c>
      <c r="G6" s="6" t="str">
        <f>IF(ISERROR(VLOOKUP(TblVal1[[#This Row],[BO]],ThresNoVal[],2,FALSE)),IF(TblVal1[[#This Row],[Msgs]]&gt;VLOOKUP("Default",ThresNoVal[],2,FALSE), "NOK", "OK"),IF(TblVal1[[#This Row],[Msgs]]&gt;VLOOKUP(TblVal1[[#This Row],[BO]],ThresNoVal[],2,FALSE), "NOK", "OK"))</f>
        <v>OK</v>
      </c>
      <c r="J6" s="15" t="s">
        <v>67</v>
      </c>
      <c r="K6" s="14">
        <v>21</v>
      </c>
      <c r="M6">
        <v>21</v>
      </c>
      <c r="S6">
        <v>29</v>
      </c>
      <c r="T6">
        <v>19</v>
      </c>
    </row>
    <row r="7" spans="1:20" x14ac:dyDescent="0.25">
      <c r="A7" s="6"/>
      <c r="B7" s="6"/>
      <c r="C7" s="6"/>
      <c r="D7" s="7"/>
      <c r="E7" s="6" t="s">
        <v>213</v>
      </c>
      <c r="F7" s="54">
        <f>IF(TblVal1[[#This Row],[2001-01-13 00:00:00.0]]="NOK",IF(ISERROR(VLOOKUP(TblVal1[[#This Row],[BO]],ThresNoVal[],2,FALSE)),IF(TblVal1[[#This Row],[Msgs]]&gt;VLOOKUP("Default",ThresNoVal[],2,FALSE), (VLOOKUP("Default",ThresNoVal[],2,FALSE)/TblVal1[[#This Row],[Msgs]]), 0),(VLOOKUP(TblVal1[[#This Row],[BO]],ThresNoVal[],2,FALSE)/TblVal1[[#This Row],[Msgs]])),0)</f>
        <v>0</v>
      </c>
      <c r="G7" s="6" t="str">
        <f>IF(ISERROR(VLOOKUP(TblVal1[[#This Row],[BO]],ThresNoVal[],2,FALSE)),IF(TblVal1[[#This Row],[Msgs]]&gt;VLOOKUP("Default",ThresNoVal[],2,FALSE), "NOK", "OK"),IF(TblVal1[[#This Row],[Msgs]]&gt;VLOOKUP(TblVal1[[#This Row],[BO]],ThresNoVal[],2,FALSE), "NOK", "OK"))</f>
        <v>OK</v>
      </c>
      <c r="J7" s="15" t="s">
        <v>95</v>
      </c>
      <c r="K7" s="14"/>
      <c r="L7">
        <v>15</v>
      </c>
    </row>
    <row r="8" spans="1:20" x14ac:dyDescent="0.25">
      <c r="A8" s="6"/>
      <c r="B8" s="6"/>
      <c r="C8" s="6"/>
      <c r="D8" s="7"/>
      <c r="E8" s="6" t="s">
        <v>208</v>
      </c>
      <c r="F8" s="54">
        <f>IF(TblVal1[[#This Row],[2001-01-13 00:00:00.0]]="NOK",IF(ISERROR(VLOOKUP(TblVal1[[#This Row],[BO]],ThresNoVal[],2,FALSE)),IF(TblVal1[[#This Row],[Msgs]]&gt;VLOOKUP("Default",ThresNoVal[],2,FALSE), (VLOOKUP("Default",ThresNoVal[],2,FALSE)/TblVal1[[#This Row],[Msgs]]), 0),(VLOOKUP(TblVal1[[#This Row],[BO]],ThresNoVal[],2,FALSE)/TblVal1[[#This Row],[Msgs]])),0)</f>
        <v>0</v>
      </c>
      <c r="G8" s="6" t="str">
        <f>IF(ISERROR(VLOOKUP(TblVal1[[#This Row],[BO]],ThresNoVal[],2,FALSE)),IF(TblVal1[[#This Row],[Msgs]]&gt;VLOOKUP("Default",ThresNoVal[],2,FALSE), "NOK", "OK"),IF(TblVal1[[#This Row],[Msgs]]&gt;VLOOKUP(TblVal1[[#This Row],[BO]],ThresNoVal[],2,FALSE), "NOK", "OK"))</f>
        <v>OK</v>
      </c>
      <c r="J8" s="7" t="s">
        <v>87</v>
      </c>
      <c r="K8" s="14"/>
      <c r="P8">
        <v>77</v>
      </c>
    </row>
    <row r="9" spans="1:20" x14ac:dyDescent="0.25">
      <c r="A9" s="6"/>
      <c r="B9" s="6"/>
      <c r="C9" s="6"/>
      <c r="D9" s="7"/>
      <c r="E9" s="6" t="s">
        <v>214</v>
      </c>
      <c r="F9" s="54">
        <f>IF(TblVal1[[#This Row],[2001-01-13 00:00:00.0]]="NOK",IF(ISERROR(VLOOKUP(TblVal1[[#This Row],[BO]],ThresNoVal[],2,FALSE)),IF(TblVal1[[#This Row],[Msgs]]&gt;VLOOKUP("Default",ThresNoVal[],2,FALSE), (VLOOKUP("Default",ThresNoVal[],2,FALSE)/TblVal1[[#This Row],[Msgs]]), 0),(VLOOKUP(TblVal1[[#This Row],[BO]],ThresNoVal[],2,FALSE)/TblVal1[[#This Row],[Msgs]])),0)</f>
        <v>0</v>
      </c>
      <c r="G9" s="6" t="str">
        <f>IF(ISERROR(VLOOKUP(TblVal1[[#This Row],[BO]],ThresNoVal[],2,FALSE)),IF(TblVal1[[#This Row],[Msgs]]&gt;VLOOKUP("Default",ThresNoVal[],2,FALSE), "NOK", "OK"),IF(TblVal1[[#This Row],[Msgs]]&gt;VLOOKUP(TblVal1[[#This Row],[BO]],ThresNoVal[],2,FALSE), "NOK", "OK"))</f>
        <v>OK</v>
      </c>
      <c r="J9" s="7" t="s">
        <v>96</v>
      </c>
      <c r="K9" s="14"/>
    </row>
    <row r="10" spans="1:20" x14ac:dyDescent="0.25">
      <c r="A10" s="6"/>
      <c r="B10" s="6"/>
      <c r="C10" s="6"/>
      <c r="D10" s="7"/>
      <c r="E10" s="6" t="s">
        <v>207</v>
      </c>
      <c r="F10" s="54">
        <f>IF(TblVal1[[#This Row],[2001-01-13 00:00:00.0]]="NOK",IF(ISERROR(VLOOKUP(TblVal1[[#This Row],[BO]],ThresNoVal[],2,FALSE)),IF(TblVal1[[#This Row],[Msgs]]&gt;VLOOKUP("Default",ThresNoVal[],2,FALSE), (VLOOKUP("Default",ThresNoVal[],2,FALSE)/TblVal1[[#This Row],[Msgs]]), 0),(VLOOKUP(TblVal1[[#This Row],[BO]],ThresNoVal[],2,FALSE)/TblVal1[[#This Row],[Msgs]])),0)</f>
        <v>0</v>
      </c>
      <c r="G10" s="6" t="str">
        <f>IF(ISERROR(VLOOKUP(TblVal1[[#This Row],[BO]],ThresNoVal[],2,FALSE)),IF(TblVal1[[#This Row],[Msgs]]&gt;VLOOKUP("Default",ThresNoVal[],2,FALSE), "NOK", "OK"),IF(TblVal1[[#This Row],[Msgs]]&gt;VLOOKUP(TblVal1[[#This Row],[BO]],ThresNoVal[],2,FALSE), "NOK", "OK"))</f>
        <v>OK</v>
      </c>
      <c r="J10" s="7" t="s">
        <v>94</v>
      </c>
      <c r="K10" s="14"/>
      <c r="T10">
        <v>13</v>
      </c>
    </row>
    <row r="11" spans="1:20" x14ac:dyDescent="0.25">
      <c r="A11" s="6"/>
      <c r="B11" s="6"/>
      <c r="C11" s="6"/>
      <c r="D11" s="7"/>
      <c r="E11" s="6" t="s">
        <v>210</v>
      </c>
      <c r="F11" s="54">
        <f>IF(TblVal1[[#This Row],[2001-01-13 00:00:00.0]]="NOK",IF(ISERROR(VLOOKUP(TblVal1[[#This Row],[BO]],ThresNoVal[],2,FALSE)),IF(TblVal1[[#This Row],[Msgs]]&gt;VLOOKUP("Default",ThresNoVal[],2,FALSE), (VLOOKUP("Default",ThresNoVal[],2,FALSE)/TblVal1[[#This Row],[Msgs]]), 0),(VLOOKUP(TblVal1[[#This Row],[BO]],ThresNoVal[],2,FALSE)/TblVal1[[#This Row],[Msgs]])),0)</f>
        <v>0</v>
      </c>
      <c r="G11" s="6" t="str">
        <f>IF(ISERROR(VLOOKUP(TblVal1[[#This Row],[BO]],ThresNoVal[],2,FALSE)),IF(TblVal1[[#This Row],[Msgs]]&gt;VLOOKUP("Default",ThresNoVal[],2,FALSE), "NOK", "OK"),IF(TblVal1[[#This Row],[Msgs]]&gt;VLOOKUP(TblVal1[[#This Row],[BO]],ThresNoVal[],2,FALSE), "NOK", "OK"))</f>
        <v>OK</v>
      </c>
    </row>
    <row r="12" spans="1:20" x14ac:dyDescent="0.25">
      <c r="A12" s="6"/>
      <c r="B12" s="6"/>
      <c r="C12" s="6"/>
      <c r="D12" s="7"/>
      <c r="E12" s="6" t="s">
        <v>215</v>
      </c>
      <c r="F12" s="54">
        <f>IF(TblVal1[[#This Row],[2001-01-13 00:00:00.0]]="NOK",IF(ISERROR(VLOOKUP(TblVal1[[#This Row],[BO]],ThresNoVal[],2,FALSE)),IF(TblVal1[[#This Row],[Msgs]]&gt;VLOOKUP("Default",ThresNoVal[],2,FALSE), (VLOOKUP("Default",ThresNoVal[],2,FALSE)/TblVal1[[#This Row],[Msgs]]), 0),(VLOOKUP(TblVal1[[#This Row],[BO]],ThresNoVal[],2,FALSE)/TblVal1[[#This Row],[Msgs]])),0)</f>
        <v>0</v>
      </c>
      <c r="G12" s="6" t="str">
        <f>IF(ISERROR(VLOOKUP(TblVal1[[#This Row],[BO]],ThresNoVal[],2,FALSE)),IF(TblVal1[[#This Row],[Msgs]]&gt;VLOOKUP("Default",ThresNoVal[],2,FALSE), "NOK", "OK"),IF(TblVal1[[#This Row],[Msgs]]&gt;VLOOKUP(TblVal1[[#This Row],[BO]],ThresNoVal[],2,FALSE), "NOK", "OK"))</f>
        <v>OK</v>
      </c>
    </row>
    <row r="13" spans="1:20" x14ac:dyDescent="0.25">
      <c r="A13" s="6"/>
      <c r="B13" s="6"/>
      <c r="C13" s="6"/>
      <c r="D13" s="7"/>
      <c r="E13" s="6" t="s">
        <v>213</v>
      </c>
      <c r="F13" s="54">
        <f>IF(TblVal1[[#This Row],[2001-01-13 00:00:00.0]]="NOK",IF(ISERROR(VLOOKUP(TblVal1[[#This Row],[BO]],ThresNoVal[],2,FALSE)),IF(TblVal1[[#This Row],[Msgs]]&gt;VLOOKUP("Default",ThresNoVal[],2,FALSE), (VLOOKUP("Default",ThresNoVal[],2,FALSE)/TblVal1[[#This Row],[Msgs]]), 0),(VLOOKUP(TblVal1[[#This Row],[BO]],ThresNoVal[],2,FALSE)/TblVal1[[#This Row],[Msgs]])),0)</f>
        <v>0</v>
      </c>
      <c r="G13" s="6" t="str">
        <f>IF(ISERROR(VLOOKUP(TblVal1[[#This Row],[BO]],ThresNoVal[],2,FALSE)),IF(TblVal1[[#This Row],[Msgs]]&gt;VLOOKUP("Default",ThresNoVal[],2,FALSE), "NOK", "OK"),IF(TblVal1[[#This Row],[Msgs]]&gt;VLOOKUP(TblVal1[[#This Row],[BO]],ThresNoVal[],2,FALSE), "NOK", "OK"))</f>
        <v>OK</v>
      </c>
    </row>
    <row r="14" spans="1:20" x14ac:dyDescent="0.25">
      <c r="A14" s="6"/>
      <c r="B14" s="6"/>
      <c r="C14" s="6"/>
      <c r="D14" s="7"/>
      <c r="E14" s="6" t="s">
        <v>208</v>
      </c>
      <c r="F14" s="54">
        <f>IF(TblVal1[[#This Row],[2001-01-13 00:00:00.0]]="NOK",IF(ISERROR(VLOOKUP(TblVal1[[#This Row],[BO]],ThresNoVal[],2,FALSE)),IF(TblVal1[[#This Row],[Msgs]]&gt;VLOOKUP("Default",ThresNoVal[],2,FALSE), (VLOOKUP("Default",ThresNoVal[],2,FALSE)/TblVal1[[#This Row],[Msgs]]), 0),(VLOOKUP(TblVal1[[#This Row],[BO]],ThresNoVal[],2,FALSE)/TblVal1[[#This Row],[Msgs]])),0)</f>
        <v>0</v>
      </c>
      <c r="G14" s="6" t="str">
        <f>IF(ISERROR(VLOOKUP(TblVal1[[#This Row],[BO]],ThresNoVal[],2,FALSE)),IF(TblVal1[[#This Row],[Msgs]]&gt;VLOOKUP("Default",ThresNoVal[],2,FALSE), "NOK", "OK"),IF(TblVal1[[#This Row],[Msgs]]&gt;VLOOKUP(TblVal1[[#This Row],[BO]],ThresNoVal[],2,FALSE), "NOK", "OK"))</f>
        <v>OK</v>
      </c>
    </row>
    <row r="15" spans="1:20" x14ac:dyDescent="0.25">
      <c r="A15" s="6"/>
      <c r="B15" s="6"/>
      <c r="C15" s="6"/>
      <c r="D15" s="7"/>
      <c r="E15" s="6" t="s">
        <v>210</v>
      </c>
      <c r="F15" s="54">
        <f>IF(TblVal1[[#This Row],[2001-01-13 00:00:00.0]]="NOK",IF(ISERROR(VLOOKUP(TblVal1[[#This Row],[BO]],ThresNoVal[],2,FALSE)),IF(TblVal1[[#This Row],[Msgs]]&gt;VLOOKUP("Default",ThresNoVal[],2,FALSE), (VLOOKUP("Default",ThresNoVal[],2,FALSE)/TblVal1[[#This Row],[Msgs]]), 0),(VLOOKUP(TblVal1[[#This Row],[BO]],ThresNoVal[],2,FALSE)/TblVal1[[#This Row],[Msgs]])),0)</f>
        <v>0</v>
      </c>
      <c r="G15" s="6" t="str">
        <f>IF(ISERROR(VLOOKUP(TblVal1[[#This Row],[BO]],ThresNoVal[],2,FALSE)),IF(TblVal1[[#This Row],[Msgs]]&gt;VLOOKUP("Default",ThresNoVal[],2,FALSE), "NOK", "OK"),IF(TblVal1[[#This Row],[Msgs]]&gt;VLOOKUP(TblVal1[[#This Row],[BO]],ThresNoVal[],2,FALSE), "NOK", "OK"))</f>
        <v>OK</v>
      </c>
    </row>
    <row r="16" spans="1:20" x14ac:dyDescent="0.25">
      <c r="A16" s="6"/>
      <c r="B16" s="6"/>
      <c r="C16" s="6"/>
      <c r="D16" s="7"/>
      <c r="E16" s="6" t="s">
        <v>210</v>
      </c>
      <c r="F16" s="54">
        <f>IF(TblVal1[[#This Row],[2001-01-13 00:00:00.0]]="NOK",IF(ISERROR(VLOOKUP(TblVal1[[#This Row],[BO]],ThresNoVal[],2,FALSE)),IF(TblVal1[[#This Row],[Msgs]]&gt;VLOOKUP("Default",ThresNoVal[],2,FALSE), (VLOOKUP("Default",ThresNoVal[],2,FALSE)/TblVal1[[#This Row],[Msgs]]), 0),(VLOOKUP(TblVal1[[#This Row],[BO]],ThresNoVal[],2,FALSE)/TblVal1[[#This Row],[Msgs]])),0)</f>
        <v>0</v>
      </c>
      <c r="G16" s="6" t="str">
        <f>IF(ISERROR(VLOOKUP(TblVal1[[#This Row],[BO]],ThresNoVal[],2,FALSE)),IF(TblVal1[[#This Row],[Msgs]]&gt;VLOOKUP("Default",ThresNoVal[],2,FALSE), "NOK", "OK"),IF(TblVal1[[#This Row],[Msgs]]&gt;VLOOKUP(TblVal1[[#This Row],[BO]],ThresNoVal[],2,FALSE), "NOK", "OK"))</f>
        <v>OK</v>
      </c>
    </row>
    <row r="17" spans="1:7" x14ac:dyDescent="0.25">
      <c r="A17" s="6"/>
      <c r="B17" s="6"/>
      <c r="C17" s="6"/>
      <c r="D17" s="7"/>
      <c r="E17" s="6" t="s">
        <v>208</v>
      </c>
      <c r="F17" s="54">
        <f>IF(TblVal1[[#This Row],[2001-01-13 00:00:00.0]]="NOK",IF(ISERROR(VLOOKUP(TblVal1[[#This Row],[BO]],ThresNoVal[],2,FALSE)),IF(TblVal1[[#This Row],[Msgs]]&gt;VLOOKUP("Default",ThresNoVal[],2,FALSE), (VLOOKUP("Default",ThresNoVal[],2,FALSE)/TblVal1[[#This Row],[Msgs]]), 0),(VLOOKUP(TblVal1[[#This Row],[BO]],ThresNoVal[],2,FALSE)/TblVal1[[#This Row],[Msgs]])),0)</f>
        <v>0</v>
      </c>
      <c r="G17" s="6" t="str">
        <f>IF(ISERROR(VLOOKUP(TblVal1[[#This Row],[BO]],ThresNoVal[],2,FALSE)),IF(TblVal1[[#This Row],[Msgs]]&gt;VLOOKUP("Default",ThresNoVal[],2,FALSE), "NOK", "OK"),IF(TblVal1[[#This Row],[Msgs]]&gt;VLOOKUP(TblVal1[[#This Row],[BO]],ThresNoVal[],2,FALSE), "NOK", "OK"))</f>
        <v>OK</v>
      </c>
    </row>
    <row r="18" spans="1:7" x14ac:dyDescent="0.25">
      <c r="A18" s="6"/>
      <c r="B18" s="6"/>
      <c r="C18" s="6"/>
      <c r="D18" s="7"/>
      <c r="E18" s="6" t="s">
        <v>214</v>
      </c>
      <c r="F18" s="54">
        <f>IF(TblVal1[[#This Row],[2001-01-13 00:00:00.0]]="NOK",IF(ISERROR(VLOOKUP(TblVal1[[#This Row],[BO]],ThresNoVal[],2,FALSE)),IF(TblVal1[[#This Row],[Msgs]]&gt;VLOOKUP("Default",ThresNoVal[],2,FALSE), (VLOOKUP("Default",ThresNoVal[],2,FALSE)/TblVal1[[#This Row],[Msgs]]), 0),(VLOOKUP(TblVal1[[#This Row],[BO]],ThresNoVal[],2,FALSE)/TblVal1[[#This Row],[Msgs]])),0)</f>
        <v>0</v>
      </c>
      <c r="G18" s="6" t="str">
        <f>IF(ISERROR(VLOOKUP(TblVal1[[#This Row],[BO]],ThresNoVal[],2,FALSE)),IF(TblVal1[[#This Row],[Msgs]]&gt;VLOOKUP("Default",ThresNoVal[],2,FALSE), "NOK", "OK"),IF(TblVal1[[#This Row],[Msgs]]&gt;VLOOKUP(TblVal1[[#This Row],[BO]],ThresNoVal[],2,FALSE), "NOK", "OK"))</f>
        <v>OK</v>
      </c>
    </row>
    <row r="19" spans="1:7" x14ac:dyDescent="0.25">
      <c r="A19" s="6"/>
      <c r="B19" s="6"/>
      <c r="C19" s="6"/>
      <c r="D19" s="7"/>
      <c r="E19" s="6"/>
      <c r="F19" s="54"/>
      <c r="G19" s="6"/>
    </row>
    <row r="20" spans="1:7" x14ac:dyDescent="0.25">
      <c r="A20" s="6"/>
      <c r="B20" s="6"/>
      <c r="C20" s="6"/>
      <c r="D20" s="7"/>
      <c r="E20" s="6"/>
      <c r="F20" s="54"/>
      <c r="G20" s="6"/>
    </row>
    <row r="21" spans="1:7" x14ac:dyDescent="0.25">
      <c r="A21" s="6"/>
      <c r="B21" s="6"/>
      <c r="C21" s="6"/>
      <c r="D21" s="7"/>
      <c r="E21" s="6"/>
      <c r="F21" s="54"/>
      <c r="G21" s="6"/>
    </row>
    <row r="22" spans="1:7" x14ac:dyDescent="0.25">
      <c r="A22" s="6"/>
      <c r="B22" s="6"/>
      <c r="C22" s="6"/>
      <c r="D22" s="7"/>
      <c r="E22" s="7"/>
      <c r="F22" s="54"/>
      <c r="G22" s="6"/>
    </row>
    <row r="23" spans="1:7" x14ac:dyDescent="0.25">
      <c r="A23" s="6"/>
      <c r="B23" s="6"/>
      <c r="C23" s="6"/>
      <c r="D23" s="7"/>
      <c r="E23" s="7"/>
      <c r="F23" s="54"/>
      <c r="G23" s="6"/>
    </row>
    <row r="24" spans="1:7" x14ac:dyDescent="0.25">
      <c r="A24" s="6"/>
      <c r="B24" s="6"/>
      <c r="C24" s="6"/>
      <c r="D24" s="7"/>
      <c r="E24" s="7"/>
      <c r="F24" s="54"/>
      <c r="G24" s="6"/>
    </row>
    <row r="25" spans="1:7" x14ac:dyDescent="0.25">
      <c r="A25" s="6"/>
      <c r="B25" s="6"/>
      <c r="C25" s="6"/>
      <c r="D25" s="7"/>
      <c r="E25" s="7"/>
      <c r="F25" s="54"/>
      <c r="G25" s="6"/>
    </row>
    <row r="26" spans="1:7" x14ac:dyDescent="0.25">
      <c r="A26" s="6"/>
      <c r="B26" s="6"/>
      <c r="C26" s="6"/>
      <c r="D26" s="7"/>
      <c r="E26" s="7"/>
      <c r="F26" s="54"/>
      <c r="G26" s="6"/>
    </row>
    <row r="27" spans="1:7" x14ac:dyDescent="0.25">
      <c r="A27" s="6"/>
      <c r="B27" s="6"/>
      <c r="C27" s="6"/>
      <c r="D27" s="7"/>
      <c r="E27" s="7"/>
      <c r="F27" s="54"/>
      <c r="G27" s="6"/>
    </row>
    <row r="28" spans="1:7" x14ac:dyDescent="0.25">
      <c r="A28" s="6"/>
      <c r="B28" s="6"/>
      <c r="C28" s="6"/>
      <c r="D28" s="7"/>
      <c r="E28" s="7"/>
      <c r="F28" s="54"/>
      <c r="G28" s="6"/>
    </row>
    <row r="29" spans="1:7" x14ac:dyDescent="0.25">
      <c r="A29" s="6"/>
      <c r="B29" s="6"/>
      <c r="C29" s="6"/>
      <c r="D29" s="7"/>
      <c r="E29" s="7"/>
      <c r="F29" s="54"/>
      <c r="G29" s="6"/>
    </row>
    <row r="30" spans="1:7" x14ac:dyDescent="0.25">
      <c r="A30" s="6"/>
      <c r="B30" s="6"/>
      <c r="C30" s="6"/>
      <c r="D30" s="7"/>
      <c r="E30" s="7"/>
      <c r="F30" s="54"/>
      <c r="G30" s="6"/>
    </row>
    <row r="31" spans="1:7" x14ac:dyDescent="0.25">
      <c r="A31" s="6"/>
      <c r="B31" s="6"/>
      <c r="C31" s="6"/>
      <c r="D31" s="7"/>
      <c r="E31" s="7"/>
      <c r="F31" s="54"/>
      <c r="G31" s="6"/>
    </row>
    <row r="32" spans="1:7" x14ac:dyDescent="0.25">
      <c r="A32" s="6"/>
      <c r="B32" s="6"/>
      <c r="C32" s="6"/>
      <c r="D32" s="7"/>
      <c r="E32" s="7"/>
      <c r="F32" s="54"/>
      <c r="G32" s="6"/>
    </row>
    <row r="33" spans="1:7" x14ac:dyDescent="0.25">
      <c r="A33" s="6"/>
      <c r="B33" s="6"/>
      <c r="C33" s="6"/>
      <c r="D33" s="7"/>
      <c r="E33" s="7"/>
      <c r="F33" s="54"/>
      <c r="G33" s="6"/>
    </row>
    <row r="34" spans="1:7" x14ac:dyDescent="0.25">
      <c r="A34" s="6"/>
      <c r="B34" s="6"/>
      <c r="C34" s="6"/>
      <c r="D34" s="7"/>
      <c r="E34" s="7"/>
      <c r="F34" s="54"/>
      <c r="G34" s="6"/>
    </row>
    <row r="35" spans="1:7" x14ac:dyDescent="0.25">
      <c r="A35" s="6"/>
      <c r="B35" s="6"/>
      <c r="C35" s="6"/>
      <c r="D35" s="7"/>
      <c r="E35" s="7"/>
      <c r="F35" s="54"/>
      <c r="G35" s="6"/>
    </row>
    <row r="36" spans="1:7" x14ac:dyDescent="0.25">
      <c r="A36" s="6"/>
      <c r="B36" s="6"/>
      <c r="C36" s="6"/>
      <c r="D36" s="7"/>
      <c r="E36" s="7"/>
      <c r="F36" s="54"/>
      <c r="G36" s="6"/>
    </row>
    <row r="37" spans="1:7" x14ac:dyDescent="0.25">
      <c r="A37" s="6"/>
      <c r="B37" s="6"/>
      <c r="C37" s="6"/>
      <c r="D37" s="7"/>
      <c r="E37" s="7"/>
      <c r="F37" s="54"/>
      <c r="G37" s="6"/>
    </row>
    <row r="38" spans="1:7" x14ac:dyDescent="0.25">
      <c r="A38" s="6"/>
      <c r="B38" s="6"/>
      <c r="C38" s="6"/>
      <c r="D38" s="7"/>
      <c r="E38" s="7"/>
      <c r="F38" s="54"/>
      <c r="G38" s="6"/>
    </row>
    <row r="39" spans="1:7" x14ac:dyDescent="0.25">
      <c r="A39" s="6"/>
      <c r="B39" s="6"/>
      <c r="C39" s="6"/>
      <c r="D39" s="7"/>
      <c r="E39" s="7"/>
      <c r="F39" s="54"/>
      <c r="G39" s="6"/>
    </row>
    <row r="40" spans="1:7" x14ac:dyDescent="0.25">
      <c r="A40" s="6"/>
      <c r="B40" s="6"/>
      <c r="C40" s="6"/>
      <c r="D40" s="7"/>
      <c r="E40" s="7"/>
      <c r="F40" s="54"/>
      <c r="G40" s="6"/>
    </row>
    <row r="41" spans="1:7" x14ac:dyDescent="0.25">
      <c r="A41" s="6"/>
      <c r="B41" s="6"/>
      <c r="C41" s="6"/>
      <c r="D41" s="7"/>
      <c r="E41" s="7"/>
      <c r="F41" s="54"/>
      <c r="G41" s="6"/>
    </row>
    <row r="42" spans="1:7" x14ac:dyDescent="0.25">
      <c r="A42" s="6"/>
      <c r="B42" s="6"/>
      <c r="C42" s="6"/>
      <c r="D42" s="7"/>
      <c r="E42" s="7"/>
      <c r="F42" s="54"/>
      <c r="G42" s="6"/>
    </row>
    <row r="43" spans="1:7" x14ac:dyDescent="0.25">
      <c r="A43" s="6"/>
      <c r="B43" s="6"/>
      <c r="C43" s="6"/>
      <c r="D43" s="7"/>
      <c r="E43" s="7"/>
      <c r="F43" s="54"/>
      <c r="G43" s="6"/>
    </row>
    <row r="44" spans="1:7" x14ac:dyDescent="0.25">
      <c r="A44" s="6"/>
      <c r="B44" s="6"/>
      <c r="C44" s="6"/>
      <c r="D44" s="7"/>
      <c r="E44" s="7"/>
      <c r="F44" s="54"/>
      <c r="G44" s="6"/>
    </row>
    <row r="45" spans="1:7" x14ac:dyDescent="0.25">
      <c r="A45" s="6"/>
      <c r="B45" s="6"/>
      <c r="C45" s="6"/>
      <c r="D45" s="7"/>
      <c r="E45" s="7"/>
      <c r="F45" s="54"/>
      <c r="G45" s="6"/>
    </row>
  </sheetData>
  <mergeCells count="1">
    <mergeCell ref="A1:D1"/>
  </mergeCells>
  <conditionalFormatting sqref="A54:D120 A46:D46">
    <cfRule type="expression" dxfId="126" priority="6">
      <formula>$D46="NOK"</formula>
    </cfRule>
  </conditionalFormatting>
  <conditionalFormatting sqref="A4:G45">
    <cfRule type="expression" dxfId="125" priority="21">
      <formula>$G4="NOK"</formula>
    </cfRule>
  </conditionalFormatting>
  <conditionalFormatting sqref="J3:M6 K7:M9">
    <cfRule type="expression" dxfId="124" priority="23">
      <formula>$M3="NOK"</formula>
    </cfRule>
  </conditionalFormatting>
  <conditionalFormatting sqref="J7:J9">
    <cfRule type="expression" dxfId="123" priority="25">
      <formula>$N7="NOK"</formula>
    </cfRule>
  </conditionalFormatting>
  <conditionalFormatting sqref="J10">
    <cfRule type="expression" dxfId="122" priority="2">
      <formula>$G10="NOK"</formula>
    </cfRule>
  </conditionalFormatting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6" id="{D8A0A18C-AB51-49B6-97B5-0C4481328A82}">
            <x14:iconSet iconSet="3Symbols2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G4:G45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6"/>
  <dimension ref="A1:W27"/>
  <sheetViews>
    <sheetView zoomScaleNormal="100" workbookViewId="0">
      <selection activeCell="G16" sqref="G16"/>
    </sheetView>
  </sheetViews>
  <sheetFormatPr defaultRowHeight="15" x14ac:dyDescent="0.25"/>
  <cols>
    <col min="1" max="1" width="32.5703125" bestFit="1" customWidth="1" collapsed="1"/>
    <col min="2" max="2" width="21.5703125" bestFit="1" customWidth="1" collapsed="1"/>
    <col min="3" max="3" width="13" bestFit="1" customWidth="1" collapsed="1"/>
    <col min="4" max="4" width="32.42578125" customWidth="1" collapsed="1"/>
    <col min="6" max="6" width="13.85546875" bestFit="1" customWidth="1" collapsed="1"/>
    <col min="7" max="7" width="21.5703125" bestFit="1" customWidth="1" collapsed="1"/>
    <col min="8" max="8" width="13.140625" bestFit="1" customWidth="1" collapsed="1"/>
    <col min="9" max="9" width="11.42578125" bestFit="1" customWidth="1" collapsed="1"/>
    <col min="10" max="10" width="12.85546875" customWidth="1" collapsed="1"/>
    <col min="12" max="13" width="21.5703125" bestFit="1" customWidth="1" collapsed="1"/>
  </cols>
  <sheetData>
    <row r="1" spans="1:23" ht="17.45" customHeight="1" x14ac:dyDescent="0.3">
      <c r="A1" s="27" t="s">
        <v>2</v>
      </c>
      <c r="B1" s="28"/>
      <c r="C1" s="28"/>
      <c r="D1" s="30" t="s">
        <v>25</v>
      </c>
      <c r="E1" s="29" t="str">
        <f>IF(ISERROR(VLOOKUP("NOK",TblVal2[Controlo],1,FALSE)),IF(ISERROR(VLOOKUP("NOK",TblVal215[Controlo],1,FALSE)),"OK","NOK"),"NOK")</f>
        <v>OK</v>
      </c>
    </row>
    <row r="2" spans="1:23" ht="17.45" customHeight="1" x14ac:dyDescent="0.25"/>
    <row r="3" spans="1:23" ht="17.45" customHeight="1" x14ac:dyDescent="0.3">
      <c r="A3" s="31" t="s">
        <v>212</v>
      </c>
      <c r="D3" s="10"/>
      <c r="E3" s="10"/>
      <c r="F3" s="32">
        <v>10</v>
      </c>
      <c r="G3" t="s">
        <v>267</v>
      </c>
      <c r="K3" t="s">
        <v>217</v>
      </c>
      <c r="L3" t="s">
        <v>218</v>
      </c>
      <c r="M3">
        <v>2</v>
      </c>
    </row>
    <row r="4" spans="1:23" ht="15.75" thickBot="1" x14ac:dyDescent="0.3">
      <c r="A4" s="11" t="s">
        <v>205</v>
      </c>
      <c r="B4" s="12" t="s">
        <v>211</v>
      </c>
      <c r="C4" s="21" t="s">
        <v>48</v>
      </c>
      <c r="D4" s="12" t="s">
        <v>31</v>
      </c>
      <c r="F4" s="11" t="s">
        <v>278</v>
      </c>
      <c r="G4" s="12" t="s">
        <v>268</v>
      </c>
      <c r="H4" s="21" t="s">
        <v>69</v>
      </c>
      <c r="I4" s="21" t="s">
        <v>48</v>
      </c>
      <c r="J4" s="12" t="s">
        <v>31</v>
      </c>
      <c r="K4" t="s">
        <v>219</v>
      </c>
      <c r="L4" t="s">
        <v>220</v>
      </c>
      <c r="M4" s="56" t="s">
        <v>277</v>
      </c>
      <c r="N4" s="57" t="s">
        <v>40</v>
      </c>
      <c r="O4" s="57" t="s">
        <v>50</v>
      </c>
      <c r="P4" s="57" t="s">
        <v>51</v>
      </c>
      <c r="Q4" s="57" t="s">
        <v>52</v>
      </c>
      <c r="R4" s="57" t="s">
        <v>53</v>
      </c>
      <c r="S4" s="57" t="s">
        <v>55</v>
      </c>
      <c r="T4" s="57" t="s">
        <v>56</v>
      </c>
      <c r="U4" s="57" t="s">
        <v>57</v>
      </c>
      <c r="V4" s="57" t="s">
        <v>60</v>
      </c>
      <c r="W4" s="57" t="s">
        <v>61</v>
      </c>
    </row>
    <row r="5" spans="1:23" x14ac:dyDescent="0.25">
      <c r="A5" s="13"/>
      <c r="B5" s="7"/>
      <c r="C5" s="54">
        <f>IF(TblVal2[[#This Row],[Controlo]]="NOK",IF(ISERROR(VLOOKUP(TblVal2[[#This Row],[Column2]],ThresPorProc[],2,FALSE)),IF(TblVal2[[#This Row],[Column1]]&gt;VLOOKUP("Default",ThresPorProc[],2,FALSE), (VLOOKUP("Default",ThresPorProc[],2,FALSE)/TblVal2[[#This Row],[Column1]]), 0),(VLOOKUP(TblVal2[[#This Row],[Column2]],ThresPorProc[],2,FALSE)/TblVal2[[#This Row],[Column1]])),0)</f>
        <v>0</v>
      </c>
      <c r="D5" s="7" t="str">
        <f>IF(ISERROR(VLOOKUP(TblVal2[[#This Row],[Column2]],ThresPorProc[],2,FALSE)),IF(TblVal2[[#This Row],[Column1]]&gt;VLOOKUP("Default",ThresPorProc[],2,FALSE), "NOK", "OK"),IF(TblVal2[[#This Row],[Column1]]&gt;VLOOKUP(TblVal2[[#This Row],[Column2]],ThresPorProc[],2,FALSE), "NOK", "OK"))</f>
        <v>OK</v>
      </c>
      <c r="F5" s="13"/>
      <c r="G5" s="7"/>
      <c r="H5" s="7"/>
      <c r="I5" s="54">
        <f>IF(TblVal215[[#This Row],[Controlo]]="NOK",IF(ISERROR(VLOOKUP(TblVal215[[#This Row],[Marketing]],ThresPorProc[],2,FALSE)),IF(TblVal215[[#This Row],[20]]&gt;VLOOKUP("Default",ThresPorProc[],2,FALSE), (VLOOKUP("Default",ThresPorProc[],2,FALSE)/TblVal215[[#This Row],[20]]), 0),(VLOOKUP(TblVal215[[#This Row],[Marketing]],ThresPorProc[],2,FALSE)/TblVal215[[#This Row],[20]])),0)</f>
        <v>0</v>
      </c>
      <c r="J5" s="7" t="str">
        <f>IF(ISERROR(VLOOKUP(TblVal215[[#This Row],[Marketing]],ThresPorProc[],2,FALSE)),IF(TblVal215[[#This Row],[20]]&gt;VLOOKUP("Default",ThresPorProc[],2,FALSE), "NOK", "OK"),IF(TblVal215[[#This Row],[20]]&gt;VLOOKUP(TblVal215[[#This Row],[Marketing]],ThresPorProc[],2,FALSE), "NOK", "OK"))</f>
        <v>OK</v>
      </c>
      <c r="K5" t="s">
        <v>221</v>
      </c>
      <c r="L5" t="s">
        <v>222</v>
      </c>
      <c r="M5" s="46">
        <v>1</v>
      </c>
      <c r="N5" s="14">
        <v>891</v>
      </c>
      <c r="O5">
        <v>1919</v>
      </c>
      <c r="Q5">
        <v>11444</v>
      </c>
      <c r="R5">
        <v>31032</v>
      </c>
      <c r="S5">
        <v>535</v>
      </c>
      <c r="T5">
        <v>5842</v>
      </c>
      <c r="U5">
        <v>7393</v>
      </c>
      <c r="V5">
        <v>271</v>
      </c>
      <c r="W5">
        <v>4363</v>
      </c>
    </row>
    <row r="6" spans="1:23" x14ac:dyDescent="0.25">
      <c r="A6" s="14"/>
      <c r="B6" s="15"/>
      <c r="C6" s="55">
        <f>IF(TblVal2[[#This Row],[Controlo]]="NOK",IF(ISERROR(VLOOKUP(TblVal2[[#This Row],[Column2]],ThresPorProc[],2,FALSE)),IF(TblVal2[[#This Row],[Column1]]&gt;VLOOKUP("Default",ThresPorProc[],2,FALSE), (VLOOKUP("Default",ThresPorProc[],2,FALSE)/TblVal2[[#This Row],[Column1]]), 0),(VLOOKUP(TblVal2[[#This Row],[Column2]],ThresPorProc[],2,FALSE)/TblVal2[[#This Row],[Column1]])),0)</f>
        <v>0</v>
      </c>
      <c r="D6" s="7" t="str">
        <f>IF(ISERROR(VLOOKUP(TblVal2[[#This Row],[Column2]],ThresPorProc[],2,FALSE)),IF(TblVal2[[#This Row],[Column1]]&gt;VLOOKUP("Default",ThresPorProc[],2,FALSE), "NOK", "OK"),IF(TblVal2[[#This Row],[Column1]]&gt;VLOOKUP(TblVal2[[#This Row],[Column2]],ThresPorProc[],2,FALSE), "NOK", "OK"))</f>
        <v>OK</v>
      </c>
      <c r="F6" s="14"/>
      <c r="G6" s="15"/>
      <c r="H6" s="15"/>
      <c r="I6" s="54">
        <f>IF(TblVal215[[#This Row],[Controlo]]="NOK",IF(ISERROR(VLOOKUP(TblVal215[[#This Row],[Marketing]],ThresPorProc[],2,FALSE)),IF(TblVal215[[#This Row],[20]]&gt;VLOOKUP("Default",ThresPorProc[],2,FALSE), (VLOOKUP("Default",ThresPorProc[],2,FALSE)/TblVal215[[#This Row],[20]]), 0),(VLOOKUP(TblVal215[[#This Row],[Marketing]],ThresPorProc[],2,FALSE)/TblVal215[[#This Row],[20]])),0)</f>
        <v>0</v>
      </c>
      <c r="J6" s="7" t="str">
        <f>IF(ISERROR(VLOOKUP(TblVal215[[#This Row],[Marketing]],ThresPorProc[],2,FALSE)),IF(TblVal215[[#This Row],[20]]&gt;VLOOKUP("Default",ThresPorProc[],2,FALSE), "NOK", "OK"),IF(TblVal215[[#This Row],[20]]&gt;VLOOKUP(TblVal215[[#This Row],[Marketing]],ThresPorProc[],2,FALSE), "NOK", "OK"))</f>
        <v>OK</v>
      </c>
      <c r="K6" t="s">
        <v>223</v>
      </c>
      <c r="L6" t="s">
        <v>224</v>
      </c>
      <c r="M6" s="46">
        <v>2</v>
      </c>
      <c r="N6" s="14">
        <v>199</v>
      </c>
      <c r="Q6">
        <v>288</v>
      </c>
      <c r="R6">
        <v>2276</v>
      </c>
    </row>
    <row r="7" spans="1:23" x14ac:dyDescent="0.25">
      <c r="A7" s="6"/>
      <c r="B7" s="7"/>
      <c r="C7" s="54">
        <f>IF(TblVal2[[#This Row],[Controlo]]="NOK",IF(ISERROR(VLOOKUP(TblVal2[[#This Row],[Column2]],ThresPorProc[],2,FALSE)),IF(TblVal2[[#This Row],[Column1]]&gt;VLOOKUP("Default",ThresPorProc[],2,FALSE), (VLOOKUP("Default",ThresPorProc[],2,FALSE)/TblVal2[[#This Row],[Column1]]), 0),(VLOOKUP(TblVal2[[#This Row],[Column2]],ThresPorProc[],2,FALSE)/TblVal2[[#This Row],[Column1]])),0)</f>
        <v>0</v>
      </c>
      <c r="D7" s="7" t="str">
        <f>IF(ISERROR(VLOOKUP(TblVal2[[#This Row],[Column2]],ThresPorProc[],2,FALSE)),IF(TblVal2[[#This Row],[Column1]]&gt;VLOOKUP("Default",ThresPorProc[],2,FALSE), "NOK", "OK"),IF(TblVal2[[#This Row],[Column1]]&gt;VLOOKUP(TblVal2[[#This Row],[Column2]],ThresPorProc[],2,FALSE), "NOK", "OK"))</f>
        <v>OK</v>
      </c>
      <c r="F7" s="6"/>
      <c r="G7" s="7"/>
      <c r="H7" s="7"/>
      <c r="I7" s="54">
        <f>IF(TblVal215[[#This Row],[Controlo]]="NOK",IF(ISERROR(VLOOKUP(TblVal215[[#This Row],[Marketing]],ThresPorProc[],2,FALSE)),IF(TblVal215[[#This Row],[20]]&gt;VLOOKUP("Default",ThresPorProc[],2,FALSE), (VLOOKUP("Default",ThresPorProc[],2,FALSE)/TblVal215[[#This Row],[20]]), 0),(VLOOKUP(TblVal215[[#This Row],[Marketing]],ThresPorProc[],2,FALSE)/TblVal215[[#This Row],[20]])),0)</f>
        <v>0</v>
      </c>
      <c r="J7" s="7" t="str">
        <f>IF(ISERROR(VLOOKUP(TblVal215[[#This Row],[Marketing]],ThresPorProc[],2,FALSE)),IF(TblVal215[[#This Row],[20]]&gt;VLOOKUP("Default",ThresPorProc[],2,FALSE), "NOK", "OK"),IF(TblVal215[[#This Row],[20]]&gt;VLOOKUP(TblVal215[[#This Row],[Marketing]],ThresPorProc[],2,FALSE), "NOK", "OK"))</f>
        <v>OK</v>
      </c>
      <c r="K7" t="s">
        <v>225</v>
      </c>
      <c r="L7" t="s">
        <v>226</v>
      </c>
      <c r="M7" s="7">
        <v>2</v>
      </c>
      <c r="N7" s="14"/>
      <c r="O7">
        <v>2272</v>
      </c>
      <c r="Q7">
        <v>16602</v>
      </c>
      <c r="R7">
        <v>28380</v>
      </c>
      <c r="S7">
        <v>393</v>
      </c>
      <c r="T7">
        <v>6345</v>
      </c>
      <c r="U7">
        <v>2647</v>
      </c>
      <c r="V7">
        <v>161</v>
      </c>
      <c r="W7">
        <v>2733</v>
      </c>
    </row>
    <row r="8" spans="1:23" x14ac:dyDescent="0.25">
      <c r="A8" s="6"/>
      <c r="B8" s="7"/>
      <c r="C8" s="54">
        <f>IF(TblVal2[[#This Row],[Controlo]]="NOK",IF(ISERROR(VLOOKUP(TblVal2[[#This Row],[Column2]],ThresPorProc[],2,FALSE)),IF(TblVal2[[#This Row],[Column1]]&gt;VLOOKUP("Default",ThresPorProc[],2,FALSE), (VLOOKUP("Default",ThresPorProc[],2,FALSE)/TblVal2[[#This Row],[Column1]]), 0),(VLOOKUP(TblVal2[[#This Row],[Column2]],ThresPorProc[],2,FALSE)/TblVal2[[#This Row],[Column1]])),0)</f>
        <v>0</v>
      </c>
      <c r="D8" s="7" t="str">
        <f>IF(ISERROR(VLOOKUP(TblVal2[[#This Row],[Column2]],ThresPorProc[],2,FALSE)),IF(TblVal2[[#This Row],[Column1]]&gt;VLOOKUP("Default",ThresPorProc[],2,FALSE), "NOK", "OK"),IF(TblVal2[[#This Row],[Column1]]&gt;VLOOKUP(TblVal2[[#This Row],[Column2]],ThresPorProc[],2,FALSE), "NOK", "OK"))</f>
        <v>OK</v>
      </c>
      <c r="F8" s="6"/>
      <c r="G8" s="7"/>
      <c r="H8" s="7"/>
      <c r="I8" s="54">
        <f>IF(TblVal215[[#This Row],[Controlo]]="NOK",IF(ISERROR(VLOOKUP(TblVal215[[#This Row],[Marketing]],ThresPorProc[],2,FALSE)),IF(TblVal215[[#This Row],[20]]&gt;VLOOKUP("Default",ThresPorProc[],2,FALSE), (VLOOKUP("Default",ThresPorProc[],2,FALSE)/TblVal215[[#This Row],[20]]), 0),(VLOOKUP(TblVal215[[#This Row],[Marketing]],ThresPorProc[],2,FALSE)/TblVal215[[#This Row],[20]])),0)</f>
        <v>0</v>
      </c>
      <c r="J8" s="7" t="str">
        <f>IF(ISERROR(VLOOKUP(TblVal215[[#This Row],[Marketing]],ThresPorProc[],2,FALSE)),IF(TblVal215[[#This Row],[20]]&gt;VLOOKUP("Default",ThresPorProc[],2,FALSE), "NOK", "OK"),IF(TblVal215[[#This Row],[20]]&gt;VLOOKUP(TblVal215[[#This Row],[Marketing]],ThresPorProc[],2,FALSE), "NOK", "OK"))</f>
        <v>OK</v>
      </c>
      <c r="K8" t="s">
        <v>227</v>
      </c>
      <c r="L8" t="s">
        <v>228</v>
      </c>
      <c r="M8" s="7">
        <v>1</v>
      </c>
      <c r="N8" s="14"/>
      <c r="P8">
        <v>145</v>
      </c>
      <c r="T8">
        <v>469</v>
      </c>
    </row>
    <row r="9" spans="1:23" x14ac:dyDescent="0.25">
      <c r="A9" s="6"/>
      <c r="B9" s="7"/>
      <c r="C9" s="54">
        <f>IF(TblVal2[[#This Row],[Controlo]]="NOK",IF(ISERROR(VLOOKUP(TblVal2[[#This Row],[Column2]],ThresPorProc[],2,FALSE)),IF(TblVal2[[#This Row],[Column1]]&gt;VLOOKUP("Default",ThresPorProc[],2,FALSE), (VLOOKUP("Default",ThresPorProc[],2,FALSE)/TblVal2[[#This Row],[Column1]]), 0),(VLOOKUP(TblVal2[[#This Row],[Column2]],ThresPorProc[],2,FALSE)/TblVal2[[#This Row],[Column1]])),0)</f>
        <v>0</v>
      </c>
      <c r="D9" s="7" t="str">
        <f>IF(ISERROR(VLOOKUP(TblVal2[[#This Row],[Column2]],ThresPorProc[],2,FALSE)),IF(TblVal2[[#This Row],[Column1]]&gt;VLOOKUP("Default",ThresPorProc[],2,FALSE), "NOK", "OK"),IF(TblVal2[[#This Row],[Column1]]&gt;VLOOKUP(TblVal2[[#This Row],[Column2]],ThresPorProc[],2,FALSE), "NOK", "OK"))</f>
        <v>OK</v>
      </c>
      <c r="F9" s="6"/>
      <c r="G9" s="7"/>
      <c r="H9" s="7"/>
      <c r="I9" s="54">
        <f>IF(TblVal215[[#This Row],[Controlo]]="NOK",IF(ISERROR(VLOOKUP(TblVal215[[#This Row],[Marketing]],ThresPorProc[],2,FALSE)),IF(TblVal215[[#This Row],[20]]&gt;VLOOKUP("Default",ThresPorProc[],2,FALSE), (VLOOKUP("Default",ThresPorProc[],2,FALSE)/TblVal215[[#This Row],[20]]), 0),(VLOOKUP(TblVal215[[#This Row],[Marketing]],ThresPorProc[],2,FALSE)/TblVal215[[#This Row],[20]])),0)</f>
        <v>0</v>
      </c>
      <c r="J9" s="7" t="str">
        <f>IF(ISERROR(VLOOKUP(TblVal215[[#This Row],[Marketing]],ThresPorProc[],2,FALSE)),IF(TblVal215[[#This Row],[20]]&gt;VLOOKUP("Default",ThresPorProc[],2,FALSE), "NOK", "OK"),IF(TblVal215[[#This Row],[20]]&gt;VLOOKUP(TblVal215[[#This Row],[Marketing]],ThresPorProc[],2,FALSE), "NOK", "OK"))</f>
        <v>OK</v>
      </c>
      <c r="K9" t="s">
        <v>229</v>
      </c>
      <c r="L9" t="s">
        <v>230</v>
      </c>
      <c r="M9" s="7">
        <v>3</v>
      </c>
      <c r="N9" s="14"/>
      <c r="Q9">
        <v>264</v>
      </c>
      <c r="R9">
        <v>151</v>
      </c>
      <c r="S9">
        <v>140</v>
      </c>
    </row>
    <row r="10" spans="1:23" x14ac:dyDescent="0.25">
      <c r="A10" s="6"/>
      <c r="B10" s="7"/>
      <c r="C10" s="54">
        <f>IF(TblVal2[[#This Row],[Controlo]]="NOK",IF(ISERROR(VLOOKUP(TblVal2[[#This Row],[Column2]],ThresPorProc[],2,FALSE)),IF(TblVal2[[#This Row],[Column1]]&gt;VLOOKUP("Default",ThresPorProc[],2,FALSE), (VLOOKUP("Default",ThresPorProc[],2,FALSE)/TblVal2[[#This Row],[Column1]]), 0),(VLOOKUP(TblVal2[[#This Row],[Column2]],ThresPorProc[],2,FALSE)/TblVal2[[#This Row],[Column1]])),0)</f>
        <v>0</v>
      </c>
      <c r="D10" s="7" t="str">
        <f>IF(ISERROR(VLOOKUP(TblVal2[[#This Row],[Column2]],ThresPorProc[],2,FALSE)),IF(TblVal2[[#This Row],[Column1]]&gt;VLOOKUP("Default",ThresPorProc[],2,FALSE), "NOK", "OK"),IF(TblVal2[[#This Row],[Column1]]&gt;VLOOKUP(TblVal2[[#This Row],[Column2]],ThresPorProc[],2,FALSE), "NOK", "OK"))</f>
        <v>OK</v>
      </c>
      <c r="F10" s="6"/>
      <c r="G10" s="7"/>
      <c r="H10" s="7"/>
      <c r="I10" s="54">
        <f>IF(TblVal215[[#This Row],[Controlo]]="NOK",IF(ISERROR(VLOOKUP(TblVal215[[#This Row],[Marketing]],ThresPorProc[],2,FALSE)),IF(TblVal215[[#This Row],[20]]&gt;VLOOKUP("Default",ThresPorProc[],2,FALSE), (VLOOKUP("Default",ThresPorProc[],2,FALSE)/TblVal215[[#This Row],[20]]), 0),(VLOOKUP(TblVal215[[#This Row],[Marketing]],ThresPorProc[],2,FALSE)/TblVal215[[#This Row],[20]])),0)</f>
        <v>0</v>
      </c>
      <c r="J10" s="7" t="str">
        <f>IF(ISERROR(VLOOKUP(TblVal215[[#This Row],[Marketing]],ThresPorProc[],2,FALSE)),IF(TblVal215[[#This Row],[20]]&gt;VLOOKUP("Default",ThresPorProc[],2,FALSE), "NOK", "OK"),IF(TblVal215[[#This Row],[20]]&gt;VLOOKUP(TblVal215[[#This Row],[Marketing]],ThresPorProc[],2,FALSE), "NOK", "OK"))</f>
        <v>OK</v>
      </c>
      <c r="K10" t="s">
        <v>231</v>
      </c>
      <c r="L10" t="s">
        <v>232</v>
      </c>
      <c r="M10" s="46">
        <v>1</v>
      </c>
      <c r="N10" s="14"/>
    </row>
    <row r="11" spans="1:23" x14ac:dyDescent="0.25">
      <c r="A11" s="6"/>
      <c r="B11" s="7"/>
      <c r="C11" s="54">
        <f>IF(TblVal2[[#This Row],[Controlo]]="NOK",IF(ISERROR(VLOOKUP(TblVal2[[#This Row],[Column2]],ThresPorProc[],2,FALSE)),IF(TblVal2[[#This Row],[Column1]]&gt;VLOOKUP("Default",ThresPorProc[],2,FALSE), (VLOOKUP("Default",ThresPorProc[],2,FALSE)/TblVal2[[#This Row],[Column1]]), 0),(VLOOKUP(TblVal2[[#This Row],[Column2]],ThresPorProc[],2,FALSE)/TblVal2[[#This Row],[Column1]])),0)</f>
        <v>0</v>
      </c>
      <c r="D11" s="7" t="str">
        <f>IF(ISERROR(VLOOKUP(TblVal2[[#This Row],[Column2]],ThresPorProc[],2,FALSE)),IF(TblVal2[[#This Row],[Column1]]&gt;VLOOKUP("Default",ThresPorProc[],2,FALSE), "NOK", "OK"),IF(TblVal2[[#This Row],[Column1]]&gt;VLOOKUP(TblVal2[[#This Row],[Column2]],ThresPorProc[],2,FALSE), "NOK", "OK"))</f>
        <v>OK</v>
      </c>
      <c r="F11" s="6"/>
      <c r="G11" s="7"/>
      <c r="H11" s="7"/>
      <c r="I11" s="54">
        <f>IF(TblVal215[[#This Row],[Controlo]]="NOK",IF(ISERROR(VLOOKUP(TblVal215[[#This Row],[Marketing]],ThresPorProc[],2,FALSE)),IF(TblVal215[[#This Row],[20]]&gt;VLOOKUP("Default",ThresPorProc[],2,FALSE), (VLOOKUP("Default",ThresPorProc[],2,FALSE)/TblVal215[[#This Row],[20]]), 0),(VLOOKUP(TblVal215[[#This Row],[Marketing]],ThresPorProc[],2,FALSE)/TblVal215[[#This Row],[20]])),0)</f>
        <v>0</v>
      </c>
      <c r="J11" s="7" t="str">
        <f>IF(ISERROR(VLOOKUP(TblVal215[[#This Row],[Marketing]],ThresPorProc[],2,FALSE)),IF(TblVal215[[#This Row],[20]]&gt;VLOOKUP("Default",ThresPorProc[],2,FALSE), "NOK", "OK"),IF(TblVal215[[#This Row],[20]]&gt;VLOOKUP(TblVal215[[#This Row],[Marketing]],ThresPorProc[],2,FALSE), "NOK", "OK"))</f>
        <v>OK</v>
      </c>
      <c r="K11" t="s">
        <v>233</v>
      </c>
      <c r="L11" t="s">
        <v>234</v>
      </c>
      <c r="M11">
        <v>1</v>
      </c>
    </row>
    <row r="12" spans="1:23" x14ac:dyDescent="0.25">
      <c r="F12" s="6"/>
      <c r="G12" s="7"/>
      <c r="H12" s="7"/>
      <c r="I12" s="54">
        <f>IF(TblVal215[[#This Row],[Controlo]]="NOK",IF(ISERROR(VLOOKUP(TblVal215[[#This Row],[Marketing]],ThresPorProc[],2,FALSE)),IF(TblVal215[[#This Row],[20]]&gt;VLOOKUP("Default",ThresPorProc[],2,FALSE), (VLOOKUP("Default",ThresPorProc[],2,FALSE)/TblVal215[[#This Row],[20]]), 0),(VLOOKUP(TblVal215[[#This Row],[Marketing]],ThresPorProc[],2,FALSE)/TblVal215[[#This Row],[20]])),0)</f>
        <v>0</v>
      </c>
      <c r="J12" s="7" t="str">
        <f>IF(ISERROR(VLOOKUP(TblVal215[[#This Row],[Marketing]],ThresPorProc[],2,FALSE)),IF(TblVal215[[#This Row],[20]]&gt;VLOOKUP("Default",ThresPorProc[],2,FALSE), "NOK", "OK"),IF(TblVal215[[#This Row],[20]]&gt;VLOOKUP(TblVal215[[#This Row],[Marketing]],ThresPorProc[],2,FALSE), "NOK", "OK"))</f>
        <v>OK</v>
      </c>
      <c r="K12" t="s">
        <v>235</v>
      </c>
      <c r="L12" t="s">
        <v>236</v>
      </c>
      <c r="M12" s="69">
        <v>4</v>
      </c>
      <c r="N12" s="70">
        <v>43314</v>
      </c>
    </row>
    <row r="13" spans="1:23" x14ac:dyDescent="0.25">
      <c r="F13" s="6"/>
      <c r="G13" s="7"/>
      <c r="H13" s="7"/>
      <c r="I13" s="54"/>
      <c r="J13" s="7"/>
      <c r="K13" t="s">
        <v>237</v>
      </c>
      <c r="L13" t="s">
        <v>238</v>
      </c>
      <c r="M13" s="73">
        <v>1</v>
      </c>
      <c r="N13" s="14">
        <v>878</v>
      </c>
    </row>
    <row r="14" spans="1:23" x14ac:dyDescent="0.25">
      <c r="K14" t="s">
        <v>239</v>
      </c>
      <c r="L14" t="s">
        <v>240</v>
      </c>
      <c r="M14" s="73">
        <v>4</v>
      </c>
      <c r="N14" s="14">
        <v>191</v>
      </c>
    </row>
    <row r="15" spans="1:23" x14ac:dyDescent="0.25">
      <c r="K15" t="s">
        <v>241</v>
      </c>
      <c r="L15" t="s">
        <v>242</v>
      </c>
      <c r="M15" s="71">
        <v>3</v>
      </c>
      <c r="N15" s="14">
        <v>2948</v>
      </c>
    </row>
    <row r="16" spans="1:23" x14ac:dyDescent="0.25">
      <c r="K16" t="s">
        <v>243</v>
      </c>
      <c r="L16" t="s">
        <v>244</v>
      </c>
      <c r="M16" s="71">
        <v>1</v>
      </c>
      <c r="N16" s="14"/>
    </row>
    <row r="17" spans="11:14" x14ac:dyDescent="0.25">
      <c r="K17" t="s">
        <v>245</v>
      </c>
      <c r="L17" t="s">
        <v>246</v>
      </c>
      <c r="M17" s="71">
        <v>3</v>
      </c>
      <c r="N17" s="14"/>
    </row>
    <row r="18" spans="11:14" x14ac:dyDescent="0.25">
      <c r="K18" t="s">
        <v>247</v>
      </c>
      <c r="L18" t="s">
        <v>248</v>
      </c>
      <c r="M18" s="15">
        <v>4</v>
      </c>
      <c r="N18" s="72">
        <v>2097</v>
      </c>
    </row>
    <row r="19" spans="11:14" x14ac:dyDescent="0.25">
      <c r="K19" t="s">
        <v>249</v>
      </c>
      <c r="L19" t="s">
        <v>250</v>
      </c>
      <c r="M19" s="15">
        <v>3</v>
      </c>
      <c r="N19" s="13">
        <v>305</v>
      </c>
    </row>
    <row r="20" spans="11:14" x14ac:dyDescent="0.25">
      <c r="K20" t="s">
        <v>251</v>
      </c>
      <c r="L20" t="s">
        <v>252</v>
      </c>
      <c r="M20" s="15">
        <v>2</v>
      </c>
      <c r="N20" s="13">
        <v>6445</v>
      </c>
    </row>
    <row r="21" spans="11:14" x14ac:dyDescent="0.25">
      <c r="K21" t="s">
        <v>253</v>
      </c>
      <c r="L21" t="s">
        <v>254</v>
      </c>
      <c r="M21">
        <v>4</v>
      </c>
    </row>
    <row r="22" spans="11:14" x14ac:dyDescent="0.25">
      <c r="K22" t="s">
        <v>255</v>
      </c>
      <c r="L22" t="s">
        <v>256</v>
      </c>
      <c r="M22">
        <v>1</v>
      </c>
    </row>
    <row r="23" spans="11:14" x14ac:dyDescent="0.25">
      <c r="K23" t="s">
        <v>257</v>
      </c>
      <c r="L23" t="s">
        <v>258</v>
      </c>
      <c r="M23">
        <v>3</v>
      </c>
    </row>
    <row r="24" spans="11:14" x14ac:dyDescent="0.25">
      <c r="K24" t="s">
        <v>259</v>
      </c>
      <c r="L24" t="s">
        <v>260</v>
      </c>
      <c r="M24">
        <v>1</v>
      </c>
    </row>
    <row r="25" spans="11:14" x14ac:dyDescent="0.25">
      <c r="K25" t="s">
        <v>261</v>
      </c>
      <c r="L25" t="s">
        <v>262</v>
      </c>
      <c r="M25">
        <v>2</v>
      </c>
    </row>
    <row r="26" spans="11:14" x14ac:dyDescent="0.25">
      <c r="K26" t="s">
        <v>263</v>
      </c>
      <c r="L26" t="s">
        <v>264</v>
      </c>
      <c r="M26">
        <v>4</v>
      </c>
    </row>
    <row r="27" spans="11:14" x14ac:dyDescent="0.25">
      <c r="K27" t="s">
        <v>265</v>
      </c>
      <c r="L27" t="s">
        <v>266</v>
      </c>
      <c r="M27">
        <v>4</v>
      </c>
    </row>
  </sheetData>
  <conditionalFormatting sqref="A12:C12 A20:C35">
    <cfRule type="expression" dxfId="109" priority="11">
      <formula>$C12="NOK"</formula>
    </cfRule>
  </conditionalFormatting>
  <conditionalFormatting sqref="A5:D11">
    <cfRule type="expression" dxfId="108" priority="24">
      <formula>$D5="NOK"</formula>
    </cfRule>
  </conditionalFormatting>
  <conditionalFormatting sqref="M4:O6 M10:O10 N7:O9">
    <cfRule type="expression" dxfId="107" priority="33">
      <formula>$O4="NOK"</formula>
    </cfRule>
  </conditionalFormatting>
  <conditionalFormatting sqref="M7:M9">
    <cfRule type="expression" dxfId="106" priority="37">
      <formula>$P7="NOK"</formula>
    </cfRule>
  </conditionalFormatting>
  <conditionalFormatting sqref="F11:J13 I5:J10">
    <cfRule type="expression" dxfId="105" priority="40">
      <formula>$J5="NOK"</formula>
    </cfRule>
  </conditionalFormatting>
  <conditionalFormatting sqref="M12:N14 N15:N20">
    <cfRule type="expression" dxfId="104" priority="5">
      <formula>$O12="NOK"</formula>
    </cfRule>
  </conditionalFormatting>
  <conditionalFormatting sqref="M15:M17">
    <cfRule type="expression" dxfId="103" priority="6">
      <formula>$P15="NOK"</formula>
    </cfRule>
  </conditionalFormatting>
  <conditionalFormatting sqref="M18">
    <cfRule type="expression" dxfId="102" priority="4">
      <formula>$J18="NOK"</formula>
    </cfRule>
  </conditionalFormatting>
  <conditionalFormatting sqref="M19">
    <cfRule type="expression" dxfId="101" priority="3">
      <formula>$J19="NOK"</formula>
    </cfRule>
  </conditionalFormatting>
  <conditionalFormatting sqref="M20">
    <cfRule type="expression" dxfId="100" priority="2">
      <formula>$J20="NOK"</formula>
    </cfRule>
  </conditionalFormatting>
  <conditionalFormatting sqref="F5:H10">
    <cfRule type="expression" dxfId="99" priority="1">
      <formula>$J5="NOK"</formula>
    </cfRule>
  </conditionalFormatting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lha7"/>
  <dimension ref="A1:F16"/>
  <sheetViews>
    <sheetView workbookViewId="0">
      <selection activeCell="C8" sqref="C8"/>
    </sheetView>
  </sheetViews>
  <sheetFormatPr defaultRowHeight="15" x14ac:dyDescent="0.25"/>
  <cols>
    <col min="1" max="1" width="16.85546875" customWidth="1" collapsed="1"/>
    <col min="2" max="2" width="66.5703125" customWidth="1" collapsed="1"/>
    <col min="3" max="3" width="67" bestFit="1" customWidth="1" collapsed="1"/>
    <col min="4" max="4" width="8.85546875" customWidth="1" collapsed="1"/>
  </cols>
  <sheetData>
    <row r="1" spans="1:6" ht="18" thickBot="1" x14ac:dyDescent="0.35">
      <c r="A1" s="146" t="s">
        <v>4</v>
      </c>
      <c r="B1" s="147"/>
      <c r="C1" s="147"/>
      <c r="D1" s="148"/>
      <c r="E1" s="30" t="s">
        <v>25</v>
      </c>
      <c r="F1" s="29" t="str">
        <f>IF(ISBLANK(TblVal3[Id Caso]),"OK","NOK")</f>
        <v>OK</v>
      </c>
    </row>
    <row r="2" spans="1:6" ht="18" thickTop="1" x14ac:dyDescent="0.3">
      <c r="A2" s="16"/>
      <c r="B2" s="17"/>
      <c r="C2" s="17"/>
      <c r="D2" s="17"/>
      <c r="E2" s="10"/>
    </row>
    <row r="3" spans="1:6" ht="15.75" thickBot="1" x14ac:dyDescent="0.3">
      <c r="A3" s="11" t="s">
        <v>6</v>
      </c>
      <c r="B3" s="12" t="s">
        <v>1</v>
      </c>
      <c r="C3" s="21" t="s">
        <v>20</v>
      </c>
      <c r="D3" s="21" t="s">
        <v>31</v>
      </c>
    </row>
    <row r="4" spans="1:6" ht="44.45" customHeight="1" x14ac:dyDescent="0.25">
      <c r="A4" s="22"/>
      <c r="B4" s="23"/>
      <c r="C4" s="6"/>
      <c r="D4" s="6"/>
    </row>
    <row r="5" spans="1:6" x14ac:dyDescent="0.25">
      <c r="A5" s="24"/>
      <c r="B5" s="46"/>
      <c r="C5" s="6" t="s">
        <v>185</v>
      </c>
      <c r="D5" s="6"/>
    </row>
    <row r="6" spans="1:6" ht="29.45" customHeight="1" x14ac:dyDescent="0.25">
      <c r="A6" s="24"/>
      <c r="B6" s="25"/>
      <c r="C6" s="6" t="s">
        <v>185</v>
      </c>
      <c r="D6" s="6"/>
    </row>
    <row r="7" spans="1:6" x14ac:dyDescent="0.25">
      <c r="A7" s="7"/>
      <c r="B7" s="6"/>
      <c r="C7" s="6" t="s">
        <v>185</v>
      </c>
      <c r="D7" s="6"/>
    </row>
    <row r="8" spans="1:6" x14ac:dyDescent="0.25">
      <c r="A8" s="7"/>
      <c r="B8" s="6"/>
      <c r="C8" s="6" t="s">
        <v>185</v>
      </c>
      <c r="D8" s="6"/>
    </row>
    <row r="9" spans="1:6" x14ac:dyDescent="0.25">
      <c r="A9" s="7"/>
      <c r="B9" s="7"/>
      <c r="C9" s="47" t="s">
        <v>185</v>
      </c>
      <c r="D9" s="6"/>
    </row>
    <row r="10" spans="1:6" x14ac:dyDescent="0.25">
      <c r="A10" s="7"/>
      <c r="B10" s="7"/>
      <c r="C10" s="6" t="s">
        <v>185</v>
      </c>
      <c r="D10" s="6"/>
    </row>
    <row r="11" spans="1:6" x14ac:dyDescent="0.25">
      <c r="A11" s="7"/>
      <c r="B11" s="7"/>
      <c r="C11" s="6"/>
      <c r="D11" s="6"/>
    </row>
    <row r="13" spans="1:6" x14ac:dyDescent="0.25">
      <c r="A13" t="s">
        <v>43</v>
      </c>
      <c r="B13" t="s">
        <v>45</v>
      </c>
      <c r="C13" t="s">
        <v>46</v>
      </c>
    </row>
    <row r="14" spans="1:6" ht="64.5" customHeight="1" x14ac:dyDescent="0.25">
      <c r="A14" s="45">
        <v>8393679908</v>
      </c>
      <c r="B14" s="47" t="s">
        <v>44</v>
      </c>
    </row>
    <row r="15" spans="1:6" ht="52.35" customHeight="1" x14ac:dyDescent="0.25">
      <c r="A15" s="22">
        <v>3723131755</v>
      </c>
      <c r="B15" t="s">
        <v>120</v>
      </c>
    </row>
    <row r="16" spans="1:6" ht="56.1" customHeight="1" x14ac:dyDescent="0.25">
      <c r="A16" s="24">
        <v>3277336373</v>
      </c>
      <c r="B16" s="6" t="s">
        <v>186</v>
      </c>
    </row>
  </sheetData>
  <mergeCells count="1">
    <mergeCell ref="A1:D1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2049" r:id="rId4">
          <objectPr defaultSize="0" autoPict="0" r:id="rId5">
            <anchor moveWithCells="1">
              <from>
                <xdr:col>2</xdr:col>
                <xdr:colOff>295275</xdr:colOff>
                <xdr:row>13</xdr:row>
                <xdr:rowOff>66675</xdr:rowOff>
              </from>
              <to>
                <xdr:col>2</xdr:col>
                <xdr:colOff>3000375</xdr:colOff>
                <xdr:row>13</xdr:row>
                <xdr:rowOff>600075</xdr:rowOff>
              </to>
            </anchor>
          </objectPr>
        </oleObject>
      </mc:Choice>
      <mc:Fallback>
        <oleObject progId="Packager Shell Object" dvAspect="DVASPECT_ICON" shapeId="2049" r:id="rId4"/>
      </mc:Fallback>
    </mc:AlternateContent>
    <mc:AlternateContent xmlns:mc="http://schemas.openxmlformats.org/markup-compatibility/2006">
      <mc:Choice Requires="x14">
        <oleObject progId="Packager Shell Object" dvAspect="DVASPECT_ICON" shapeId="2050" r:id="rId6">
          <objectPr defaultSize="0" autoPict="0" r:id="rId7">
            <anchor moveWithCells="1">
              <from>
                <xdr:col>2</xdr:col>
                <xdr:colOff>1676400</xdr:colOff>
                <xdr:row>14</xdr:row>
                <xdr:rowOff>9525</xdr:rowOff>
              </from>
              <to>
                <xdr:col>2</xdr:col>
                <xdr:colOff>3619500</xdr:colOff>
                <xdr:row>14</xdr:row>
                <xdr:rowOff>600075</xdr:rowOff>
              </to>
            </anchor>
          </objectPr>
        </oleObject>
      </mc:Choice>
      <mc:Fallback>
        <oleObject progId="Packager Shell Object" dvAspect="DVASPECT_ICON" shapeId="2050" r:id="rId6"/>
      </mc:Fallback>
    </mc:AlternateContent>
    <mc:AlternateContent xmlns:mc="http://schemas.openxmlformats.org/markup-compatibility/2006">
      <mc:Choice Requires="x14">
        <oleObject progId="Packager Shell Object" shapeId="2051" r:id="rId8">
          <objectPr defaultSize="0" r:id="rId9">
            <anchor moveWithCells="1">
              <from>
                <xdr:col>2</xdr:col>
                <xdr:colOff>561975</xdr:colOff>
                <xdr:row>15</xdr:row>
                <xdr:rowOff>123825</xdr:rowOff>
              </from>
              <to>
                <xdr:col>2</xdr:col>
                <xdr:colOff>3876675</xdr:colOff>
                <xdr:row>15</xdr:row>
                <xdr:rowOff>657225</xdr:rowOff>
              </to>
            </anchor>
          </objectPr>
        </oleObject>
      </mc:Choice>
      <mc:Fallback>
        <oleObject progId="Packager Shell Object" shapeId="2051" r:id="rId8"/>
      </mc:Fallback>
    </mc:AlternateContent>
  </oleObjects>
  <tableParts count="2"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EB843-C6C0-4A6C-9A99-26A0ECEE886A}">
  <sheetPr codeName="Folha8"/>
  <dimension ref="A1:Q135"/>
  <sheetViews>
    <sheetView zoomScaleNormal="100" workbookViewId="0">
      <selection activeCell="I16" sqref="I16"/>
    </sheetView>
  </sheetViews>
  <sheetFormatPr defaultRowHeight="15" x14ac:dyDescent="0.25"/>
  <cols>
    <col min="1" max="1" width="19" customWidth="1" collapsed="1"/>
    <col min="2" max="2" width="19.85546875" customWidth="1" collapsed="1"/>
    <col min="3" max="3" width="19" customWidth="1" collapsed="1"/>
    <col min="4" max="4" width="14.85546875" customWidth="1" collapsed="1"/>
    <col min="5" max="5" width="18.5703125" customWidth="1" collapsed="1"/>
    <col min="6" max="6" width="21.28515625" bestFit="1" customWidth="1" collapsed="1"/>
    <col min="7" max="7" width="13.28515625" bestFit="1" customWidth="1" collapsed="1"/>
    <col min="8" max="8" width="13" style="84" customWidth="1" collapsed="1"/>
    <col min="9" max="9" width="13.85546875" style="84" customWidth="1" collapsed="1"/>
    <col min="10" max="10" width="13.85546875" customWidth="1" collapsed="1"/>
    <col min="11" max="11" width="17" customWidth="1" collapsed="1"/>
    <col min="12" max="13" width="13.140625" customWidth="1" collapsed="1"/>
    <col min="15" max="15" width="14.42578125" customWidth="1" collapsed="1"/>
    <col min="16" max="16" width="11.28515625" customWidth="1" collapsed="1"/>
    <col min="17" max="17" width="12.5703125" customWidth="1" collapsed="1"/>
  </cols>
  <sheetData>
    <row r="1" spans="1:17" ht="17.25" x14ac:dyDescent="0.3">
      <c r="A1" s="143" t="s">
        <v>5</v>
      </c>
      <c r="B1" s="144"/>
      <c r="C1" s="144"/>
      <c r="D1" s="144"/>
      <c r="E1" s="144"/>
      <c r="F1" s="144"/>
      <c r="G1" s="144"/>
      <c r="H1" s="144"/>
      <c r="I1" s="145"/>
      <c r="J1" s="1"/>
      <c r="K1" s="30" t="s">
        <v>25</v>
      </c>
      <c r="L1" s="29" t="str">
        <f>IF(ISBLANK(TblVal4[PS]),"OK","NOK")</f>
        <v>OK</v>
      </c>
      <c r="M1" s="1"/>
    </row>
    <row r="2" spans="1:17" ht="17.25" x14ac:dyDescent="0.3">
      <c r="A2" s="1"/>
      <c r="B2" s="1"/>
      <c r="C2" s="1"/>
      <c r="D2" s="58"/>
      <c r="E2" s="1"/>
      <c r="F2" s="1"/>
      <c r="G2" s="1"/>
      <c r="H2" s="85"/>
      <c r="I2" s="85"/>
      <c r="J2" s="1"/>
      <c r="K2" s="1"/>
      <c r="L2" s="1"/>
      <c r="M2" s="1"/>
    </row>
    <row r="3" spans="1:17" ht="16.5" customHeight="1" thickBot="1" x14ac:dyDescent="0.3">
      <c r="A3" s="4" t="s">
        <v>165</v>
      </c>
      <c r="B3" s="5" t="s">
        <v>167</v>
      </c>
      <c r="C3" s="5" t="s">
        <v>168</v>
      </c>
      <c r="D3" s="62" t="s">
        <v>169</v>
      </c>
      <c r="E3" s="5" t="s">
        <v>194</v>
      </c>
      <c r="F3" s="5" t="s">
        <v>279</v>
      </c>
      <c r="G3" s="5" t="s">
        <v>269</v>
      </c>
      <c r="H3" s="86" t="s">
        <v>195</v>
      </c>
      <c r="I3" s="87" t="s">
        <v>196</v>
      </c>
      <c r="J3" s="5" t="s">
        <v>170</v>
      </c>
      <c r="K3" s="5" t="s">
        <v>197</v>
      </c>
      <c r="L3" s="5" t="s">
        <v>171</v>
      </c>
      <c r="M3" s="5" t="s">
        <v>172</v>
      </c>
      <c r="N3" s="5" t="s">
        <v>173</v>
      </c>
      <c r="O3" s="5" t="s">
        <v>191</v>
      </c>
      <c r="P3" s="5" t="s">
        <v>192</v>
      </c>
      <c r="Q3" s="5" t="s">
        <v>193</v>
      </c>
    </row>
    <row r="4" spans="1:17" x14ac:dyDescent="0.25">
      <c r="A4" s="117"/>
      <c r="B4" s="6"/>
      <c r="C4" s="6"/>
      <c r="D4" s="60"/>
      <c r="E4" s="6"/>
      <c r="F4" s="6"/>
      <c r="G4" s="6"/>
      <c r="H4" s="65"/>
      <c r="I4" s="65"/>
      <c r="J4" s="8"/>
      <c r="K4" s="8"/>
      <c r="L4" s="8"/>
      <c r="M4" s="8"/>
      <c r="N4" s="8"/>
      <c r="O4" s="8"/>
      <c r="P4" s="8"/>
      <c r="Q4" s="8"/>
    </row>
    <row r="5" spans="1:17" x14ac:dyDescent="0.25">
      <c r="A5" s="117"/>
      <c r="B5" s="6"/>
      <c r="C5" s="6"/>
      <c r="D5" s="60"/>
      <c r="E5" s="6"/>
      <c r="F5" s="6"/>
      <c r="G5" s="6"/>
      <c r="H5" s="65"/>
      <c r="I5" s="65"/>
      <c r="J5" s="8"/>
      <c r="K5" s="8"/>
      <c r="L5" s="8"/>
      <c r="M5" s="8"/>
      <c r="N5" s="8"/>
      <c r="O5" s="8"/>
      <c r="P5" s="6"/>
      <c r="Q5" s="8"/>
    </row>
    <row r="10" spans="1:17" x14ac:dyDescent="0.25">
      <c r="A10" s="117"/>
      <c r="B10" s="6"/>
      <c r="C10" s="6"/>
      <c r="D10" s="60"/>
      <c r="E10" s="6"/>
      <c r="F10" s="6"/>
      <c r="G10" s="6"/>
      <c r="H10" s="65"/>
      <c r="I10" s="65"/>
      <c r="J10" s="6"/>
      <c r="K10" s="8"/>
      <c r="L10" s="8"/>
      <c r="M10" s="8"/>
      <c r="N10" s="6"/>
      <c r="O10" s="8"/>
      <c r="P10" s="6"/>
      <c r="Q10" s="6"/>
    </row>
    <row r="11" spans="1:17" x14ac:dyDescent="0.25">
      <c r="A11" s="117"/>
      <c r="B11" s="6"/>
      <c r="C11" s="6"/>
      <c r="D11" s="60"/>
      <c r="E11" s="6"/>
      <c r="F11" s="6"/>
      <c r="G11" s="6"/>
      <c r="H11" s="65"/>
      <c r="I11" s="65"/>
      <c r="J11" s="6"/>
      <c r="K11" s="8"/>
      <c r="L11" s="6"/>
      <c r="M11" s="6"/>
      <c r="N11" s="6"/>
      <c r="O11" s="8"/>
      <c r="P11" s="6"/>
      <c r="Q11" s="6"/>
    </row>
    <row r="12" spans="1:17" x14ac:dyDescent="0.25">
      <c r="A12" s="117"/>
      <c r="B12" s="6"/>
      <c r="C12" s="6"/>
      <c r="D12" s="60"/>
      <c r="E12" s="6"/>
      <c r="F12" s="6"/>
      <c r="G12" s="6"/>
      <c r="H12" s="65"/>
      <c r="I12" s="65"/>
      <c r="J12" s="6"/>
      <c r="K12" s="8"/>
      <c r="L12" s="8"/>
      <c r="M12" s="8"/>
      <c r="N12" s="6"/>
      <c r="O12" s="8"/>
      <c r="P12" s="6"/>
      <c r="Q12" s="6"/>
    </row>
    <row r="13" spans="1:17" x14ac:dyDescent="0.25">
      <c r="A13" s="117"/>
      <c r="B13" s="6"/>
      <c r="C13" s="6"/>
      <c r="D13" s="60"/>
      <c r="E13" s="6"/>
      <c r="F13" s="6"/>
      <c r="G13" s="6"/>
      <c r="H13" s="65"/>
      <c r="I13" s="65"/>
      <c r="J13" s="8"/>
      <c r="K13" s="8"/>
      <c r="L13" s="8"/>
      <c r="M13" s="8"/>
      <c r="N13" s="8"/>
      <c r="O13" s="8"/>
      <c r="P13" s="6"/>
      <c r="Q13" s="8"/>
    </row>
    <row r="14" spans="1:17" x14ac:dyDescent="0.25">
      <c r="A14" s="117"/>
      <c r="B14" s="6"/>
      <c r="C14" s="6"/>
      <c r="D14" s="60"/>
      <c r="E14" s="6"/>
      <c r="F14" s="6"/>
      <c r="G14" s="6"/>
      <c r="H14" s="65"/>
      <c r="I14" s="65"/>
      <c r="J14" s="8"/>
      <c r="K14" s="8"/>
      <c r="L14" s="8"/>
      <c r="M14" s="6"/>
      <c r="N14" s="8"/>
      <c r="O14" s="8"/>
      <c r="P14" s="6"/>
      <c r="Q14" s="8"/>
    </row>
    <row r="15" spans="1:17" x14ac:dyDescent="0.25">
      <c r="A15" s="117"/>
      <c r="B15" s="6"/>
      <c r="C15" s="6"/>
      <c r="D15" s="60"/>
      <c r="E15" s="6"/>
      <c r="F15" s="6"/>
      <c r="G15" s="6"/>
      <c r="H15" s="65"/>
      <c r="I15" s="65"/>
      <c r="J15" s="8"/>
      <c r="K15" s="8"/>
      <c r="L15" s="8"/>
      <c r="M15" s="8"/>
      <c r="N15" s="8"/>
      <c r="O15" s="8"/>
      <c r="P15" s="6"/>
      <c r="Q15" s="8"/>
    </row>
    <row r="16" spans="1:17" x14ac:dyDescent="0.25">
      <c r="A16" s="117"/>
      <c r="B16" s="6"/>
      <c r="C16" s="6"/>
      <c r="D16" s="60"/>
      <c r="E16" s="117"/>
      <c r="F16" s="117"/>
      <c r="G16" s="119"/>
      <c r="H16" s="119"/>
      <c r="I16" s="65"/>
      <c r="J16" s="8"/>
      <c r="K16" s="8"/>
      <c r="L16" s="8"/>
      <c r="M16" s="6"/>
      <c r="N16" s="8"/>
      <c r="O16" s="8"/>
      <c r="P16" s="6"/>
      <c r="Q16" s="8"/>
    </row>
    <row r="17" spans="1:17" x14ac:dyDescent="0.25">
      <c r="A17" s="117"/>
      <c r="B17" s="6"/>
      <c r="C17" s="6"/>
      <c r="D17" s="60"/>
      <c r="E17" s="118"/>
      <c r="F17" s="117"/>
      <c r="G17" s="119"/>
      <c r="H17" s="120"/>
      <c r="I17" s="65"/>
      <c r="J17" s="8"/>
      <c r="K17" s="8"/>
      <c r="L17" s="8"/>
      <c r="M17" s="8"/>
      <c r="N17" s="8"/>
      <c r="O17" s="8"/>
      <c r="P17" s="6"/>
      <c r="Q17" s="8"/>
    </row>
    <row r="18" spans="1:17" x14ac:dyDescent="0.25">
      <c r="A18" s="117"/>
      <c r="B18" s="6"/>
      <c r="C18" s="6"/>
      <c r="D18" s="60"/>
      <c r="F18" s="122"/>
      <c r="G18" s="119"/>
      <c r="H18" s="126"/>
      <c r="I18" s="65"/>
      <c r="J18" s="8"/>
      <c r="K18" s="8"/>
      <c r="L18" s="8"/>
      <c r="M18" s="8"/>
      <c r="N18" s="8"/>
      <c r="O18" s="8"/>
      <c r="P18" s="6"/>
      <c r="Q18" s="6"/>
    </row>
    <row r="19" spans="1:17" x14ac:dyDescent="0.25">
      <c r="A19" s="117"/>
      <c r="B19" s="6"/>
      <c r="C19" s="6"/>
      <c r="D19" s="60"/>
      <c r="E19" s="6"/>
      <c r="F19" s="122"/>
      <c r="G19" s="121"/>
      <c r="H19" s="119"/>
      <c r="I19" s="65"/>
      <c r="J19" s="8"/>
      <c r="K19" s="8"/>
      <c r="L19" s="6"/>
      <c r="M19" s="6"/>
      <c r="N19" s="8"/>
      <c r="O19" s="8"/>
      <c r="P19" s="6"/>
      <c r="Q19" s="6"/>
    </row>
    <row r="20" spans="1:17" x14ac:dyDescent="0.25">
      <c r="A20" s="117"/>
      <c r="B20" s="6"/>
      <c r="C20" s="6"/>
      <c r="D20" s="60"/>
      <c r="E20" s="6"/>
      <c r="F20" s="123"/>
      <c r="G20" s="121"/>
      <c r="H20" s="126"/>
      <c r="J20" s="8"/>
      <c r="K20" s="8"/>
      <c r="L20" s="6"/>
      <c r="M20" s="6"/>
      <c r="N20" s="8"/>
      <c r="O20" s="8"/>
      <c r="P20" s="6"/>
      <c r="Q20" s="6"/>
    </row>
    <row r="21" spans="1:17" x14ac:dyDescent="0.25">
      <c r="A21" s="117"/>
      <c r="B21" s="6"/>
      <c r="C21" s="6"/>
      <c r="D21" s="60"/>
      <c r="E21" s="117"/>
      <c r="F21" s="118"/>
      <c r="G21" s="121"/>
      <c r="H21" s="65"/>
      <c r="J21" s="8"/>
      <c r="K21" s="8"/>
      <c r="L21" s="6"/>
      <c r="M21" s="6"/>
      <c r="N21" s="8"/>
      <c r="O21" s="8"/>
      <c r="P21" s="6"/>
      <c r="Q21" s="6"/>
    </row>
    <row r="22" spans="1:17" x14ac:dyDescent="0.25">
      <c r="A22" s="117"/>
      <c r="B22" s="6"/>
      <c r="C22" s="6"/>
      <c r="D22" s="60"/>
      <c r="E22" s="6"/>
      <c r="F22" s="122"/>
      <c r="G22" s="124"/>
      <c r="H22" s="65"/>
      <c r="J22" s="8"/>
      <c r="K22" s="8"/>
      <c r="L22" s="8"/>
      <c r="M22" s="8"/>
      <c r="N22" s="8"/>
      <c r="O22" s="8"/>
      <c r="P22" s="6"/>
      <c r="Q22" s="6"/>
    </row>
    <row r="23" spans="1:17" x14ac:dyDescent="0.25">
      <c r="A23" s="117"/>
      <c r="B23" s="6"/>
      <c r="C23" s="6"/>
      <c r="D23" s="60"/>
      <c r="E23" s="119"/>
      <c r="F23" s="96"/>
      <c r="G23" s="125"/>
      <c r="J23" s="8"/>
      <c r="K23" s="8"/>
      <c r="L23" s="6"/>
      <c r="M23" s="6"/>
      <c r="N23" s="8"/>
      <c r="O23" s="8"/>
      <c r="P23" s="6"/>
      <c r="Q23" s="6"/>
    </row>
    <row r="24" spans="1:17" x14ac:dyDescent="0.25">
      <c r="A24" s="117"/>
      <c r="B24" s="6"/>
      <c r="C24" s="6"/>
      <c r="D24" s="60"/>
      <c r="E24" s="6"/>
      <c r="F24" s="6"/>
      <c r="G24" s="6"/>
      <c r="H24" s="65"/>
      <c r="I24" s="65"/>
      <c r="J24" s="8"/>
      <c r="K24" s="8"/>
      <c r="L24" s="6"/>
      <c r="M24" s="6"/>
      <c r="N24" s="8"/>
      <c r="O24" s="8"/>
      <c r="P24" s="6"/>
      <c r="Q24" s="6"/>
    </row>
    <row r="25" spans="1:17" x14ac:dyDescent="0.25">
      <c r="A25" s="117"/>
      <c r="B25" s="6"/>
      <c r="C25" s="6"/>
      <c r="D25" s="60"/>
      <c r="E25" s="6"/>
      <c r="F25" s="6"/>
      <c r="G25" s="6"/>
      <c r="H25" s="65"/>
      <c r="I25" s="65"/>
      <c r="J25" s="8"/>
      <c r="K25" s="8"/>
      <c r="L25" s="6"/>
      <c r="M25" s="6"/>
      <c r="N25" s="8"/>
      <c r="O25" s="8"/>
      <c r="P25" s="6"/>
      <c r="Q25" s="6"/>
    </row>
    <row r="26" spans="1:17" x14ac:dyDescent="0.25">
      <c r="A26" s="117"/>
      <c r="B26" s="6"/>
      <c r="C26" s="6"/>
      <c r="D26" s="60"/>
      <c r="E26" s="6"/>
      <c r="F26" s="6"/>
      <c r="G26" s="6"/>
      <c r="H26" s="65"/>
      <c r="I26" s="65"/>
      <c r="J26" s="8"/>
      <c r="K26" s="8"/>
      <c r="L26" s="6"/>
      <c r="M26" s="6"/>
      <c r="N26" s="8"/>
      <c r="O26" s="8"/>
      <c r="P26" s="6"/>
      <c r="Q26" s="6"/>
    </row>
    <row r="27" spans="1:17" x14ac:dyDescent="0.25">
      <c r="A27" s="117"/>
      <c r="B27" s="6"/>
      <c r="C27" s="6"/>
      <c r="D27" s="60"/>
      <c r="E27" s="6"/>
      <c r="F27" s="6"/>
      <c r="G27" s="6"/>
      <c r="H27" s="65"/>
      <c r="I27" s="65"/>
      <c r="J27" s="9"/>
      <c r="K27" s="9"/>
      <c r="L27" s="8"/>
      <c r="M27" s="8"/>
      <c r="N27" s="8"/>
      <c r="O27" s="8"/>
      <c r="P27" s="6"/>
      <c r="Q27" s="6"/>
    </row>
    <row r="28" spans="1:17" x14ac:dyDescent="0.25">
      <c r="A28" s="117"/>
      <c r="B28" s="6"/>
      <c r="C28" s="6"/>
      <c r="D28" s="60"/>
      <c r="I28" s="65"/>
      <c r="J28" s="8"/>
      <c r="K28" s="8"/>
      <c r="L28" s="6"/>
      <c r="M28" s="6"/>
      <c r="N28" s="8"/>
      <c r="O28" s="8"/>
      <c r="P28" s="6"/>
      <c r="Q28" s="6"/>
    </row>
    <row r="29" spans="1:17" x14ac:dyDescent="0.25">
      <c r="A29" s="117"/>
      <c r="B29" s="6"/>
      <c r="C29" s="6"/>
      <c r="D29" s="60"/>
      <c r="I29" s="65"/>
      <c r="J29" s="8"/>
      <c r="K29" s="8"/>
      <c r="L29" s="6"/>
      <c r="M29" s="6"/>
      <c r="N29" s="8"/>
      <c r="O29" s="8"/>
      <c r="P29" s="6"/>
      <c r="Q29" s="6"/>
    </row>
    <row r="30" spans="1:17" x14ac:dyDescent="0.25">
      <c r="A30" s="117"/>
      <c r="B30" s="6"/>
      <c r="C30" s="6"/>
      <c r="D30" s="60"/>
      <c r="J30" s="8"/>
      <c r="K30" s="8"/>
      <c r="L30" s="6"/>
      <c r="M30" s="6"/>
      <c r="N30" s="8"/>
      <c r="O30" s="8"/>
      <c r="P30" s="6"/>
      <c r="Q30" s="6"/>
    </row>
    <row r="31" spans="1:17" x14ac:dyDescent="0.25">
      <c r="A31" s="117"/>
      <c r="B31" s="6"/>
      <c r="C31" s="6"/>
      <c r="D31" s="60"/>
      <c r="J31" s="8"/>
      <c r="K31" s="8"/>
      <c r="L31" s="6"/>
      <c r="M31" s="6"/>
      <c r="N31" s="8"/>
      <c r="O31" s="8"/>
      <c r="P31" s="6"/>
      <c r="Q31" s="6"/>
    </row>
    <row r="32" spans="1:17" x14ac:dyDescent="0.25">
      <c r="A32" s="117"/>
      <c r="B32" s="6"/>
      <c r="C32" s="6"/>
      <c r="D32" s="60"/>
      <c r="J32" s="8"/>
      <c r="K32" s="8"/>
      <c r="L32" s="6"/>
      <c r="M32" s="6"/>
      <c r="N32" s="8"/>
      <c r="O32" s="8"/>
      <c r="P32" s="6"/>
      <c r="Q32" s="6"/>
    </row>
    <row r="33" spans="1:17" x14ac:dyDescent="0.25">
      <c r="A33" s="117"/>
      <c r="B33" s="6"/>
      <c r="C33" s="6"/>
      <c r="D33" s="60"/>
      <c r="J33" s="8"/>
      <c r="K33" s="8"/>
      <c r="L33" s="6"/>
      <c r="M33" s="6"/>
      <c r="N33" s="8"/>
      <c r="O33" s="8"/>
      <c r="P33" s="6"/>
      <c r="Q33" s="6"/>
    </row>
    <row r="34" spans="1:17" x14ac:dyDescent="0.25">
      <c r="A34" s="51" t="s">
        <v>43</v>
      </c>
      <c r="B34" s="52" t="s">
        <v>47</v>
      </c>
      <c r="C34" s="97"/>
      <c r="D34" s="97"/>
      <c r="L34" s="6"/>
      <c r="M34" s="6"/>
      <c r="N34" s="6"/>
    </row>
    <row r="35" spans="1:17" x14ac:dyDescent="0.25">
      <c r="A35" s="48"/>
      <c r="B35" s="50"/>
      <c r="C35" s="96"/>
      <c r="L35" s="6"/>
      <c r="M35" s="6"/>
      <c r="N35" s="6"/>
    </row>
    <row r="36" spans="1:17" x14ac:dyDescent="0.25">
      <c r="A36" s="48"/>
      <c r="B36" s="50"/>
      <c r="C36" s="96"/>
      <c r="L36" s="6"/>
      <c r="M36" s="6"/>
      <c r="N36" s="6"/>
    </row>
    <row r="37" spans="1:17" x14ac:dyDescent="0.25">
      <c r="A37" s="48"/>
      <c r="B37" s="50"/>
      <c r="C37" s="96"/>
      <c r="D37" s="96"/>
      <c r="L37" s="6"/>
      <c r="M37" s="6"/>
      <c r="N37" s="6"/>
    </row>
    <row r="38" spans="1:17" x14ac:dyDescent="0.25">
      <c r="A38" s="48"/>
      <c r="B38" s="50"/>
      <c r="C38" s="97"/>
      <c r="E38" s="121"/>
      <c r="F38" s="96"/>
      <c r="L38" s="6"/>
      <c r="M38" s="6"/>
      <c r="N38" s="6"/>
    </row>
    <row r="39" spans="1:17" x14ac:dyDescent="0.25">
      <c r="A39" s="48"/>
      <c r="B39" s="50"/>
      <c r="C39" s="96"/>
      <c r="D39" s="96"/>
      <c r="E39" s="120"/>
      <c r="F39" s="96"/>
      <c r="L39" s="6"/>
      <c r="M39" s="6"/>
      <c r="N39" s="6"/>
    </row>
    <row r="40" spans="1:17" x14ac:dyDescent="0.25">
      <c r="A40" s="48"/>
      <c r="B40" s="50"/>
      <c r="C40" s="96"/>
      <c r="D40" s="96"/>
      <c r="E40" s="119"/>
      <c r="F40" s="96"/>
      <c r="L40" s="6"/>
      <c r="M40" s="6"/>
      <c r="N40" s="6"/>
    </row>
    <row r="41" spans="1:17" x14ac:dyDescent="0.25">
      <c r="A41" s="48"/>
      <c r="B41" s="50"/>
      <c r="C41" s="96"/>
      <c r="D41" s="97"/>
      <c r="E41" s="119"/>
      <c r="L41" s="6"/>
      <c r="M41" s="6"/>
      <c r="N41" s="6"/>
    </row>
    <row r="42" spans="1:17" x14ac:dyDescent="0.25">
      <c r="A42" s="49"/>
      <c r="B42" s="53"/>
      <c r="C42" s="96"/>
      <c r="D42" s="96"/>
      <c r="E42" s="119"/>
      <c r="F42" s="95"/>
      <c r="L42" s="6"/>
      <c r="M42" s="6"/>
      <c r="N42" s="6"/>
    </row>
    <row r="43" spans="1:17" x14ac:dyDescent="0.25">
      <c r="C43" s="61"/>
      <c r="D43" s="96"/>
      <c r="E43" s="119"/>
      <c r="F43" s="106"/>
      <c r="L43" s="6"/>
      <c r="M43" s="6"/>
      <c r="N43" s="6"/>
    </row>
    <row r="44" spans="1:17" x14ac:dyDescent="0.25">
      <c r="C44" s="96"/>
      <c r="L44" s="6"/>
      <c r="M44" s="6"/>
      <c r="N44" s="6"/>
    </row>
    <row r="45" spans="1:17" x14ac:dyDescent="0.25">
      <c r="C45" s="98"/>
      <c r="K45" s="9"/>
      <c r="L45" s="6"/>
      <c r="M45" s="6"/>
      <c r="N45" s="6"/>
    </row>
    <row r="46" spans="1:17" x14ac:dyDescent="0.25">
      <c r="D46" s="60"/>
      <c r="E46" s="96"/>
      <c r="K46" s="9"/>
      <c r="L46" s="6"/>
      <c r="M46" s="6"/>
      <c r="N46" s="6"/>
    </row>
    <row r="47" spans="1:17" x14ac:dyDescent="0.25">
      <c r="A47" s="6"/>
      <c r="B47" s="6"/>
      <c r="C47" s="6"/>
      <c r="D47" s="60"/>
      <c r="E47" s="96"/>
      <c r="F47" s="6"/>
      <c r="G47" s="6"/>
      <c r="H47" s="65"/>
      <c r="I47" s="65"/>
      <c r="J47" s="9"/>
      <c r="K47" s="9"/>
      <c r="L47" s="6"/>
      <c r="M47" s="6"/>
      <c r="N47" s="6"/>
    </row>
    <row r="48" spans="1:17" x14ac:dyDescent="0.25">
      <c r="A48" s="6"/>
      <c r="B48" s="6"/>
      <c r="C48" s="6"/>
      <c r="D48" s="60"/>
      <c r="E48" s="98"/>
      <c r="F48" s="6"/>
      <c r="G48" s="6"/>
      <c r="H48" s="65"/>
      <c r="I48" s="65"/>
      <c r="J48" s="9"/>
      <c r="K48" s="9"/>
      <c r="L48" s="6"/>
      <c r="M48" s="6"/>
      <c r="N48" s="6"/>
    </row>
    <row r="49" spans="1:14" x14ac:dyDescent="0.25">
      <c r="C49" s="6"/>
      <c r="D49" s="60"/>
      <c r="E49" s="8"/>
      <c r="F49" s="6"/>
      <c r="G49" s="6"/>
      <c r="H49" s="65"/>
      <c r="I49" s="65"/>
      <c r="J49" s="9"/>
      <c r="K49" s="9"/>
      <c r="L49" s="6"/>
      <c r="M49" s="6"/>
      <c r="N49" s="6"/>
    </row>
    <row r="50" spans="1:14" x14ac:dyDescent="0.25">
      <c r="C50" s="6"/>
      <c r="D50" s="60"/>
      <c r="E50" s="8"/>
      <c r="F50" s="6"/>
      <c r="G50" s="6"/>
      <c r="H50" s="65"/>
      <c r="I50" s="65"/>
      <c r="J50" s="9"/>
      <c r="K50" s="9"/>
      <c r="L50" s="6"/>
      <c r="M50" s="6"/>
      <c r="N50" s="6"/>
    </row>
    <row r="51" spans="1:14" x14ac:dyDescent="0.25">
      <c r="C51" s="6"/>
      <c r="D51" s="60"/>
      <c r="E51" s="8"/>
      <c r="F51" s="6"/>
      <c r="G51" s="6"/>
      <c r="H51" s="65"/>
      <c r="I51" s="65"/>
      <c r="J51" s="9"/>
      <c r="K51" s="9"/>
      <c r="L51" s="6"/>
      <c r="M51" s="6"/>
      <c r="N51" s="6"/>
    </row>
    <row r="52" spans="1:14" x14ac:dyDescent="0.25">
      <c r="C52" s="6"/>
      <c r="D52" s="60"/>
      <c r="E52" s="8"/>
      <c r="F52" s="6"/>
      <c r="G52" s="6"/>
      <c r="H52" s="65"/>
      <c r="I52" s="65"/>
      <c r="J52" s="9"/>
      <c r="K52" s="9"/>
      <c r="L52" s="6"/>
      <c r="M52" s="6"/>
      <c r="N52" s="6"/>
    </row>
    <row r="53" spans="1:14" x14ac:dyDescent="0.25">
      <c r="C53" s="6"/>
      <c r="D53" s="60"/>
      <c r="E53" s="8"/>
      <c r="F53" s="6"/>
      <c r="G53" s="6"/>
      <c r="H53" s="65"/>
      <c r="I53" s="65"/>
      <c r="J53" s="9"/>
      <c r="K53" s="9"/>
      <c r="L53" s="6"/>
      <c r="M53" s="6"/>
      <c r="N53" s="6"/>
    </row>
    <row r="54" spans="1:14" x14ac:dyDescent="0.25">
      <c r="C54" s="6"/>
      <c r="D54" s="60"/>
      <c r="E54" s="8"/>
      <c r="F54" s="6"/>
      <c r="G54" s="6"/>
      <c r="H54" s="65"/>
      <c r="I54" s="65"/>
      <c r="J54" s="9"/>
      <c r="K54" s="9"/>
      <c r="L54" s="6"/>
      <c r="M54" s="6"/>
      <c r="N54" s="6"/>
    </row>
    <row r="55" spans="1:14" x14ac:dyDescent="0.25">
      <c r="C55" s="6"/>
      <c r="D55" s="60"/>
      <c r="E55" s="8"/>
      <c r="F55" s="6"/>
      <c r="G55" s="6"/>
      <c r="H55" s="65"/>
      <c r="I55" s="65"/>
      <c r="J55" s="9"/>
      <c r="K55" s="9"/>
      <c r="L55" s="6"/>
      <c r="M55" s="6"/>
      <c r="N55" s="6"/>
    </row>
    <row r="56" spans="1:14" x14ac:dyDescent="0.25">
      <c r="C56" s="6"/>
      <c r="E56" s="8"/>
      <c r="F56" s="6"/>
      <c r="G56" s="6"/>
      <c r="H56" s="65"/>
      <c r="I56" s="65"/>
      <c r="J56" s="9"/>
      <c r="K56" s="9"/>
      <c r="L56" s="6"/>
      <c r="M56" s="6"/>
      <c r="N56" s="6"/>
    </row>
    <row r="57" spans="1:14" x14ac:dyDescent="0.25">
      <c r="C57" s="6"/>
      <c r="E57" s="8"/>
      <c r="F57" s="6"/>
      <c r="G57" s="6"/>
      <c r="H57" s="65"/>
      <c r="I57" s="65"/>
      <c r="J57" s="9"/>
      <c r="K57" s="9"/>
      <c r="L57" s="6"/>
      <c r="M57" s="6"/>
      <c r="N57" s="6"/>
    </row>
    <row r="58" spans="1:14" x14ac:dyDescent="0.25">
      <c r="C58" s="6"/>
      <c r="E58" s="8"/>
      <c r="F58" s="6"/>
      <c r="G58" s="6"/>
      <c r="H58" s="65"/>
      <c r="I58" s="65"/>
      <c r="J58" s="9"/>
      <c r="K58" s="9"/>
      <c r="L58" s="6"/>
      <c r="M58" s="6"/>
      <c r="N58" s="6"/>
    </row>
    <row r="59" spans="1:14" x14ac:dyDescent="0.25">
      <c r="A59" s="6"/>
      <c r="B59" s="6"/>
      <c r="C59" s="6"/>
      <c r="E59" s="8"/>
      <c r="F59" s="6"/>
      <c r="G59" s="6"/>
      <c r="H59" s="65"/>
      <c r="I59" s="65"/>
      <c r="J59" s="9"/>
      <c r="K59" s="9"/>
      <c r="L59" s="6"/>
      <c r="M59" s="6"/>
      <c r="N59" s="6"/>
    </row>
    <row r="60" spans="1:14" x14ac:dyDescent="0.25">
      <c r="A60" s="6"/>
      <c r="B60" s="6"/>
      <c r="C60" s="6"/>
      <c r="E60" s="8"/>
      <c r="F60" s="6"/>
      <c r="G60" s="6"/>
      <c r="H60" s="65"/>
      <c r="I60" s="65"/>
      <c r="J60" s="9"/>
      <c r="K60" s="9"/>
      <c r="L60" s="6"/>
      <c r="M60" s="6"/>
      <c r="N60" s="6"/>
    </row>
    <row r="61" spans="1:14" x14ac:dyDescent="0.25">
      <c r="A61" s="6"/>
      <c r="B61" s="6"/>
      <c r="C61" s="6"/>
      <c r="E61" s="8"/>
      <c r="F61" s="6"/>
      <c r="G61" s="6"/>
      <c r="H61" s="65"/>
      <c r="I61" s="65"/>
      <c r="J61" s="9"/>
      <c r="K61" s="9"/>
      <c r="L61" s="6"/>
      <c r="M61" s="6"/>
      <c r="N61" s="6"/>
    </row>
    <row r="62" spans="1:14" x14ac:dyDescent="0.25">
      <c r="A62" s="6"/>
      <c r="B62" s="6"/>
      <c r="C62" s="6"/>
      <c r="E62" s="8"/>
      <c r="F62" s="6"/>
      <c r="G62" s="6"/>
      <c r="H62" s="65"/>
      <c r="I62" s="65"/>
      <c r="J62" s="9"/>
      <c r="K62" s="9"/>
      <c r="L62" s="6"/>
      <c r="M62" s="6"/>
      <c r="N62" s="6"/>
    </row>
    <row r="63" spans="1:14" x14ac:dyDescent="0.25">
      <c r="A63" s="6"/>
      <c r="B63" s="6"/>
      <c r="C63" s="6"/>
      <c r="E63" s="8"/>
      <c r="F63" s="6"/>
      <c r="G63" s="6"/>
      <c r="H63" s="65"/>
      <c r="I63" s="65"/>
      <c r="J63" s="9"/>
      <c r="K63" s="9"/>
      <c r="L63" s="6"/>
      <c r="M63" s="6"/>
      <c r="N63" s="6"/>
    </row>
    <row r="64" spans="1:14" x14ac:dyDescent="0.25">
      <c r="A64" s="6"/>
      <c r="B64" s="6"/>
      <c r="C64" s="6"/>
      <c r="E64" s="8"/>
      <c r="F64" s="6"/>
      <c r="G64" s="6"/>
      <c r="H64" s="65"/>
      <c r="I64" s="65"/>
      <c r="J64" s="9"/>
      <c r="K64" s="9"/>
      <c r="L64" s="6"/>
      <c r="M64" s="6"/>
      <c r="N64" s="6"/>
    </row>
    <row r="65" spans="1:14" x14ac:dyDescent="0.25">
      <c r="A65" s="6"/>
      <c r="B65" s="6"/>
      <c r="C65" s="6"/>
      <c r="E65" s="8"/>
      <c r="F65" s="6"/>
      <c r="G65" s="6"/>
      <c r="H65" s="65"/>
      <c r="I65" s="65"/>
      <c r="J65" s="9"/>
      <c r="K65" s="9"/>
      <c r="L65" s="6"/>
      <c r="M65" s="6"/>
      <c r="N65" s="6"/>
    </row>
    <row r="66" spans="1:14" x14ac:dyDescent="0.25">
      <c r="A66" s="6"/>
      <c r="B66" s="6"/>
      <c r="C66" s="6"/>
      <c r="D66" s="60"/>
      <c r="E66" s="8"/>
      <c r="F66" s="6"/>
      <c r="G66" s="6"/>
      <c r="H66" s="65"/>
      <c r="I66" s="65"/>
      <c r="J66" s="9"/>
      <c r="K66" s="9"/>
      <c r="L66" s="6"/>
      <c r="M66" s="6"/>
      <c r="N66" s="6"/>
    </row>
    <row r="67" spans="1:14" x14ac:dyDescent="0.25">
      <c r="A67" s="6"/>
      <c r="B67" s="6"/>
      <c r="C67" s="6"/>
      <c r="D67" s="60"/>
      <c r="E67" s="8"/>
      <c r="F67" s="6"/>
      <c r="G67" s="6"/>
      <c r="H67" s="65"/>
      <c r="I67" s="65"/>
      <c r="J67" s="9"/>
      <c r="K67" s="9"/>
      <c r="L67" s="6"/>
      <c r="M67" s="6"/>
      <c r="N67" s="6"/>
    </row>
    <row r="68" spans="1:14" x14ac:dyDescent="0.25">
      <c r="A68" s="6"/>
      <c r="B68" s="6"/>
      <c r="C68" s="6"/>
      <c r="D68" s="60"/>
      <c r="E68" s="8"/>
      <c r="F68" s="6"/>
      <c r="G68" s="6"/>
      <c r="H68" s="65"/>
      <c r="I68" s="65"/>
      <c r="J68" s="9"/>
      <c r="K68" s="9"/>
      <c r="L68" s="6"/>
      <c r="M68" s="6"/>
      <c r="N68" s="6"/>
    </row>
    <row r="69" spans="1:14" x14ac:dyDescent="0.25">
      <c r="A69" s="6"/>
      <c r="B69" s="6"/>
      <c r="C69" s="6"/>
      <c r="D69" s="60"/>
      <c r="E69" s="8"/>
      <c r="F69" s="6"/>
      <c r="G69" s="6"/>
      <c r="H69" s="65"/>
      <c r="I69" s="65"/>
      <c r="J69" s="9"/>
      <c r="K69" s="9"/>
      <c r="L69" s="6"/>
      <c r="M69" s="6"/>
      <c r="N69" s="6"/>
    </row>
    <row r="70" spans="1:14" x14ac:dyDescent="0.25">
      <c r="A70" s="6"/>
      <c r="B70" s="6"/>
      <c r="C70" s="6"/>
      <c r="D70" s="60"/>
      <c r="E70" s="8"/>
      <c r="F70" s="6"/>
      <c r="G70" s="6"/>
      <c r="H70" s="65"/>
      <c r="I70" s="65"/>
      <c r="J70" s="9"/>
      <c r="K70" s="9"/>
      <c r="L70" s="6"/>
      <c r="M70" s="6"/>
      <c r="N70" s="6"/>
    </row>
    <row r="71" spans="1:14" x14ac:dyDescent="0.25">
      <c r="A71" s="6"/>
      <c r="B71" s="6"/>
      <c r="C71" s="6"/>
      <c r="D71" s="60"/>
      <c r="E71" s="8"/>
      <c r="F71" s="6"/>
      <c r="G71" s="6"/>
      <c r="H71" s="65"/>
      <c r="I71" s="65"/>
      <c r="J71" s="9"/>
      <c r="K71" s="9"/>
      <c r="L71" s="6"/>
      <c r="M71" s="6"/>
      <c r="N71" s="6"/>
    </row>
    <row r="72" spans="1:14" x14ac:dyDescent="0.25">
      <c r="A72" s="6"/>
      <c r="B72" s="6"/>
      <c r="C72" s="6"/>
      <c r="D72" s="60"/>
      <c r="E72" s="8"/>
      <c r="F72" s="6"/>
      <c r="G72" s="6"/>
      <c r="H72" s="65"/>
      <c r="I72" s="65"/>
      <c r="J72" s="9"/>
      <c r="K72" s="9"/>
      <c r="L72" s="6"/>
      <c r="M72" s="6"/>
      <c r="N72" s="6"/>
    </row>
    <row r="73" spans="1:14" x14ac:dyDescent="0.25">
      <c r="A73" s="6"/>
      <c r="B73" s="6"/>
      <c r="C73" s="6"/>
      <c r="D73" s="60"/>
      <c r="E73" s="8"/>
      <c r="F73" s="6"/>
      <c r="G73" s="6"/>
      <c r="H73" s="65"/>
      <c r="I73" s="65"/>
      <c r="J73" s="9"/>
      <c r="K73" s="9"/>
      <c r="L73" s="6"/>
      <c r="M73" s="6"/>
      <c r="N73" s="6"/>
    </row>
    <row r="74" spans="1:14" x14ac:dyDescent="0.25">
      <c r="A74" s="6"/>
      <c r="B74" s="6"/>
      <c r="C74" s="6"/>
      <c r="D74" s="60"/>
      <c r="E74" s="8"/>
      <c r="F74" s="6"/>
      <c r="G74" s="6"/>
      <c r="H74" s="65"/>
      <c r="I74" s="65"/>
      <c r="J74" s="9"/>
      <c r="K74" s="9"/>
      <c r="L74" s="6"/>
      <c r="M74" s="6"/>
      <c r="N74" s="6"/>
    </row>
    <row r="75" spans="1:14" x14ac:dyDescent="0.25">
      <c r="A75" s="6"/>
      <c r="B75" s="6"/>
      <c r="C75" s="6"/>
      <c r="D75" s="60"/>
      <c r="E75" s="8"/>
      <c r="F75" s="6"/>
      <c r="G75" s="6"/>
      <c r="H75" s="65"/>
      <c r="I75" s="65"/>
      <c r="J75" s="9"/>
      <c r="K75" s="9"/>
      <c r="L75" s="6"/>
      <c r="M75" s="6"/>
      <c r="N75" s="6"/>
    </row>
    <row r="76" spans="1:14" x14ac:dyDescent="0.25">
      <c r="A76" s="6"/>
      <c r="B76" s="6"/>
      <c r="C76" s="6"/>
      <c r="D76" s="60"/>
      <c r="E76" s="8"/>
      <c r="F76" s="6"/>
      <c r="G76" s="6"/>
      <c r="H76" s="65"/>
      <c r="I76" s="65"/>
      <c r="J76" s="9"/>
      <c r="K76" s="9"/>
      <c r="L76" s="6"/>
      <c r="M76" s="6"/>
      <c r="N76" s="6"/>
    </row>
    <row r="77" spans="1:14" x14ac:dyDescent="0.25">
      <c r="A77" s="6"/>
      <c r="B77" s="6"/>
      <c r="C77" s="6"/>
      <c r="D77" s="60"/>
      <c r="E77" s="8"/>
      <c r="F77" s="6"/>
      <c r="G77" s="6"/>
      <c r="H77" s="65"/>
      <c r="I77" s="65"/>
      <c r="J77" s="9"/>
      <c r="K77" s="9"/>
      <c r="L77" s="6"/>
      <c r="M77" s="6"/>
      <c r="N77" s="6"/>
    </row>
    <row r="78" spans="1:14" x14ac:dyDescent="0.25">
      <c r="A78" s="6"/>
      <c r="B78" s="6"/>
      <c r="C78" s="6"/>
      <c r="D78" s="60"/>
      <c r="E78" s="8"/>
      <c r="F78" s="6"/>
      <c r="G78" s="6"/>
      <c r="H78" s="65"/>
      <c r="I78" s="65"/>
      <c r="J78" s="9"/>
      <c r="K78" s="9"/>
      <c r="L78" s="6"/>
      <c r="M78" s="6"/>
      <c r="N78" s="6"/>
    </row>
    <row r="79" spans="1:14" x14ac:dyDescent="0.25">
      <c r="A79" s="6"/>
      <c r="B79" s="6"/>
      <c r="C79" s="6"/>
      <c r="D79" s="60"/>
      <c r="E79" s="8"/>
      <c r="F79" s="6"/>
      <c r="G79" s="6"/>
      <c r="H79" s="65"/>
      <c r="I79" s="65"/>
      <c r="J79" s="9"/>
      <c r="K79" s="9"/>
      <c r="L79" s="6"/>
      <c r="M79" s="6"/>
      <c r="N79" s="6"/>
    </row>
    <row r="80" spans="1:14" x14ac:dyDescent="0.25">
      <c r="A80" s="6"/>
      <c r="B80" s="6"/>
      <c r="C80" s="6"/>
      <c r="D80" s="60"/>
      <c r="E80" s="8"/>
      <c r="F80" s="6"/>
      <c r="G80" s="6"/>
      <c r="H80" s="65"/>
      <c r="I80" s="65"/>
      <c r="J80" s="9"/>
      <c r="K80" s="9"/>
      <c r="L80" s="6"/>
      <c r="M80" s="6"/>
      <c r="N80" s="6"/>
    </row>
    <row r="81" spans="1:14" x14ac:dyDescent="0.25">
      <c r="A81" s="6"/>
      <c r="B81" s="6"/>
      <c r="C81" s="6"/>
      <c r="D81" s="60"/>
      <c r="E81" s="8"/>
      <c r="F81" s="6"/>
      <c r="G81" s="6"/>
      <c r="H81" s="65"/>
      <c r="I81" s="65"/>
      <c r="J81" s="9"/>
      <c r="K81" s="9"/>
      <c r="L81" s="6"/>
      <c r="M81" s="6"/>
      <c r="N81" s="6"/>
    </row>
    <row r="82" spans="1:14" x14ac:dyDescent="0.25">
      <c r="A82" s="6"/>
      <c r="B82" s="6"/>
      <c r="C82" s="6"/>
      <c r="D82" s="60"/>
      <c r="E82" s="8"/>
      <c r="F82" s="6"/>
      <c r="G82" s="6"/>
      <c r="H82" s="65"/>
      <c r="I82" s="65"/>
      <c r="J82" s="9"/>
      <c r="K82" s="9"/>
      <c r="L82" s="6"/>
      <c r="M82" s="6"/>
      <c r="N82" s="6"/>
    </row>
    <row r="83" spans="1:14" x14ac:dyDescent="0.25">
      <c r="A83" s="6"/>
      <c r="B83" s="6"/>
      <c r="C83" s="6"/>
      <c r="D83" s="60"/>
      <c r="E83" s="8"/>
      <c r="F83" s="6"/>
      <c r="G83" s="6"/>
      <c r="H83" s="65"/>
      <c r="I83" s="65"/>
      <c r="J83" s="9"/>
      <c r="K83" s="9"/>
      <c r="L83" s="6"/>
      <c r="M83" s="6"/>
      <c r="N83" s="6"/>
    </row>
    <row r="84" spans="1:14" x14ac:dyDescent="0.25">
      <c r="A84" s="6"/>
      <c r="B84" s="6"/>
      <c r="C84" s="6"/>
      <c r="D84" s="60"/>
      <c r="E84" s="8"/>
      <c r="F84" s="6"/>
      <c r="G84" s="6"/>
      <c r="H84" s="65"/>
      <c r="I84" s="65"/>
      <c r="J84" s="9"/>
      <c r="K84" s="9"/>
      <c r="L84" s="6"/>
      <c r="M84" s="6"/>
      <c r="N84" s="6"/>
    </row>
    <row r="85" spans="1:14" x14ac:dyDescent="0.25">
      <c r="A85" s="6"/>
      <c r="B85" s="6"/>
      <c r="C85" s="6"/>
      <c r="D85" s="60"/>
      <c r="E85" s="8"/>
      <c r="F85" s="6"/>
      <c r="G85" s="6"/>
      <c r="H85" s="65"/>
      <c r="I85" s="65"/>
      <c r="J85" s="9"/>
      <c r="K85" s="9"/>
      <c r="L85" s="6"/>
      <c r="M85" s="6"/>
      <c r="N85" s="6"/>
    </row>
    <row r="86" spans="1:14" x14ac:dyDescent="0.25">
      <c r="A86" s="6"/>
      <c r="B86" s="6"/>
      <c r="C86" s="6"/>
      <c r="D86" s="60"/>
      <c r="E86" s="8"/>
      <c r="F86" s="6"/>
      <c r="G86" s="6"/>
      <c r="H86" s="65"/>
      <c r="I86" s="65"/>
      <c r="J86" s="9"/>
      <c r="K86" s="9"/>
      <c r="L86" s="6"/>
      <c r="M86" s="6"/>
      <c r="N86" s="6"/>
    </row>
    <row r="87" spans="1:14" x14ac:dyDescent="0.25">
      <c r="A87" s="6"/>
      <c r="B87" s="6"/>
      <c r="C87" s="6"/>
      <c r="D87" s="60"/>
      <c r="E87" s="8"/>
      <c r="F87" s="6"/>
      <c r="G87" s="6"/>
      <c r="H87" s="65"/>
      <c r="I87" s="65"/>
      <c r="J87" s="9"/>
      <c r="K87" s="9"/>
      <c r="L87" s="6"/>
      <c r="M87" s="6"/>
      <c r="N87" s="6"/>
    </row>
    <row r="88" spans="1:14" x14ac:dyDescent="0.25">
      <c r="A88" s="6"/>
      <c r="B88" s="6"/>
      <c r="C88" s="6"/>
      <c r="D88" s="60"/>
      <c r="E88" s="8"/>
      <c r="F88" s="6"/>
      <c r="G88" s="6"/>
      <c r="H88" s="65"/>
      <c r="I88" s="65"/>
      <c r="J88" s="9"/>
      <c r="K88" s="9"/>
      <c r="L88" s="6"/>
      <c r="M88" s="6"/>
      <c r="N88" s="6"/>
    </row>
    <row r="89" spans="1:14" x14ac:dyDescent="0.25">
      <c r="A89" s="6"/>
      <c r="B89" s="6"/>
      <c r="C89" s="6"/>
      <c r="D89" s="60"/>
      <c r="E89" s="8"/>
      <c r="F89" s="6"/>
      <c r="G89" s="6"/>
      <c r="H89" s="65"/>
      <c r="I89" s="65"/>
      <c r="J89" s="9"/>
      <c r="K89" s="9"/>
      <c r="L89" s="6"/>
      <c r="M89" s="6"/>
      <c r="N89" s="6"/>
    </row>
    <row r="90" spans="1:14" x14ac:dyDescent="0.25">
      <c r="A90" s="6"/>
      <c r="B90" s="6"/>
      <c r="C90" s="6"/>
      <c r="D90" s="60"/>
      <c r="E90" s="8"/>
      <c r="F90" s="6"/>
      <c r="G90" s="6"/>
      <c r="H90" s="65"/>
      <c r="I90" s="65"/>
      <c r="J90" s="9"/>
      <c r="K90" s="9"/>
      <c r="L90" s="6"/>
      <c r="M90" s="6"/>
      <c r="N90" s="6"/>
    </row>
    <row r="91" spans="1:14" x14ac:dyDescent="0.25">
      <c r="A91" s="6"/>
      <c r="B91" s="6"/>
      <c r="C91" s="6"/>
      <c r="D91" s="60"/>
      <c r="E91" s="8"/>
      <c r="F91" s="6"/>
      <c r="G91" s="6"/>
      <c r="H91" s="65"/>
      <c r="I91" s="65"/>
      <c r="J91" s="9"/>
      <c r="K91" s="9"/>
      <c r="L91" s="6"/>
      <c r="M91" s="6"/>
      <c r="N91" s="6"/>
    </row>
    <row r="92" spans="1:14" x14ac:dyDescent="0.25">
      <c r="A92" s="6"/>
      <c r="B92" s="6"/>
      <c r="C92" s="6"/>
      <c r="D92" s="60"/>
      <c r="E92" s="8"/>
      <c r="F92" s="6"/>
      <c r="G92" s="6"/>
      <c r="H92" s="65"/>
      <c r="I92" s="65"/>
      <c r="J92" s="9"/>
      <c r="K92" s="9"/>
      <c r="L92" s="6"/>
      <c r="M92" s="6"/>
      <c r="N92" s="6"/>
    </row>
    <row r="93" spans="1:14" x14ac:dyDescent="0.25">
      <c r="A93" s="6"/>
      <c r="B93" s="6"/>
      <c r="C93" s="6"/>
      <c r="D93" s="60"/>
      <c r="E93" s="8"/>
      <c r="F93" s="6"/>
      <c r="G93" s="6"/>
      <c r="H93" s="65"/>
      <c r="I93" s="65"/>
      <c r="J93" s="9"/>
      <c r="K93" s="9"/>
      <c r="L93" s="6"/>
      <c r="M93" s="6"/>
      <c r="N93" s="6"/>
    </row>
    <row r="94" spans="1:14" x14ac:dyDescent="0.25">
      <c r="A94" s="6"/>
      <c r="B94" s="6"/>
      <c r="C94" s="6"/>
      <c r="D94" s="60"/>
      <c r="E94" s="8"/>
      <c r="F94" s="6"/>
      <c r="G94" s="6"/>
      <c r="H94" s="65"/>
      <c r="I94" s="65"/>
      <c r="J94" s="9"/>
      <c r="K94" s="9"/>
      <c r="L94" s="6"/>
      <c r="M94" s="6"/>
      <c r="N94" s="6"/>
    </row>
    <row r="95" spans="1:14" x14ac:dyDescent="0.25">
      <c r="A95" s="6"/>
      <c r="B95" s="6"/>
      <c r="C95" s="6"/>
      <c r="D95" s="60"/>
      <c r="E95" s="8"/>
      <c r="F95" s="6"/>
      <c r="G95" s="6"/>
      <c r="H95" s="65"/>
      <c r="I95" s="65"/>
      <c r="J95" s="9"/>
      <c r="K95" s="9"/>
      <c r="L95" s="6"/>
      <c r="M95" s="6"/>
      <c r="N95" s="6"/>
    </row>
    <row r="96" spans="1:14" x14ac:dyDescent="0.25">
      <c r="A96" s="6"/>
      <c r="B96" s="6"/>
      <c r="C96" s="6"/>
      <c r="D96" s="60"/>
      <c r="E96" s="8"/>
      <c r="F96" s="6"/>
      <c r="G96" s="6"/>
      <c r="H96" s="65"/>
      <c r="I96" s="65"/>
      <c r="J96" s="9"/>
      <c r="K96" s="9"/>
      <c r="L96" s="6"/>
      <c r="M96" s="6"/>
      <c r="N96" s="6"/>
    </row>
    <row r="97" spans="1:14" x14ac:dyDescent="0.25">
      <c r="A97" s="6"/>
      <c r="B97" s="6"/>
      <c r="C97" s="6"/>
      <c r="D97" s="60"/>
      <c r="E97" s="8"/>
      <c r="F97" s="6"/>
      <c r="G97" s="6"/>
      <c r="H97" s="65"/>
      <c r="I97" s="65"/>
      <c r="J97" s="9"/>
      <c r="K97" s="9"/>
      <c r="L97" s="6"/>
      <c r="M97" s="6"/>
      <c r="N97" s="6"/>
    </row>
    <row r="98" spans="1:14" x14ac:dyDescent="0.25">
      <c r="A98" s="6"/>
      <c r="B98" s="6"/>
      <c r="C98" s="6"/>
      <c r="D98" s="60"/>
      <c r="E98" s="8"/>
      <c r="F98" s="6"/>
      <c r="G98" s="6"/>
      <c r="H98" s="65"/>
      <c r="I98" s="65"/>
      <c r="J98" s="9"/>
      <c r="K98" s="9"/>
      <c r="L98" s="6"/>
      <c r="M98" s="6"/>
      <c r="N98" s="6"/>
    </row>
    <row r="99" spans="1:14" x14ac:dyDescent="0.25">
      <c r="A99" s="6"/>
      <c r="B99" s="6"/>
      <c r="C99" s="6"/>
      <c r="D99" s="60"/>
      <c r="E99" s="8"/>
      <c r="F99" s="6"/>
      <c r="G99" s="6"/>
      <c r="H99" s="65"/>
      <c r="I99" s="65"/>
      <c r="J99" s="9"/>
      <c r="K99" s="9"/>
      <c r="L99" s="6"/>
      <c r="M99" s="6"/>
      <c r="N99" s="6"/>
    </row>
    <row r="100" spans="1:14" x14ac:dyDescent="0.25">
      <c r="A100" s="6"/>
      <c r="B100" s="6"/>
      <c r="C100" s="6"/>
      <c r="D100" s="60"/>
      <c r="E100" s="8"/>
      <c r="F100" s="6"/>
      <c r="G100" s="6"/>
      <c r="H100" s="65"/>
      <c r="I100" s="65"/>
      <c r="J100" s="9"/>
      <c r="K100" s="9"/>
      <c r="L100" s="6"/>
      <c r="M100" s="6"/>
      <c r="N100" s="6"/>
    </row>
    <row r="101" spans="1:14" x14ac:dyDescent="0.25">
      <c r="A101" s="6"/>
      <c r="B101" s="6"/>
      <c r="C101" s="6"/>
      <c r="D101" s="60"/>
      <c r="E101" s="8"/>
      <c r="F101" s="6"/>
      <c r="G101" s="6"/>
      <c r="H101" s="65"/>
      <c r="I101" s="65"/>
      <c r="J101" s="9"/>
      <c r="K101" s="9"/>
      <c r="L101" s="6"/>
      <c r="M101" s="6"/>
      <c r="N101" s="6"/>
    </row>
    <row r="102" spans="1:14" x14ac:dyDescent="0.25">
      <c r="A102" s="6"/>
      <c r="B102" s="6"/>
      <c r="C102" s="6"/>
      <c r="D102" s="60"/>
      <c r="E102" s="8"/>
      <c r="F102" s="6"/>
      <c r="G102" s="6"/>
      <c r="H102" s="65"/>
      <c r="I102" s="65"/>
      <c r="J102" s="9"/>
      <c r="K102" s="9"/>
      <c r="L102" s="6"/>
      <c r="M102" s="6"/>
      <c r="N102" s="6"/>
    </row>
    <row r="103" spans="1:14" x14ac:dyDescent="0.25">
      <c r="A103" s="6"/>
      <c r="B103" s="6"/>
      <c r="C103" s="6"/>
      <c r="D103" s="60"/>
      <c r="E103" s="8"/>
      <c r="F103" s="6"/>
      <c r="G103" s="6"/>
      <c r="H103" s="65"/>
      <c r="I103" s="65"/>
      <c r="J103" s="9"/>
      <c r="K103" s="9"/>
      <c r="L103" s="6"/>
      <c r="M103" s="6"/>
      <c r="N103" s="6"/>
    </row>
    <row r="104" spans="1:14" x14ac:dyDescent="0.25">
      <c r="A104" s="6"/>
      <c r="B104" s="6"/>
      <c r="C104" s="6"/>
      <c r="D104" s="60"/>
      <c r="E104" s="8"/>
      <c r="F104" s="6"/>
      <c r="G104" s="6"/>
      <c r="H104" s="65"/>
      <c r="I104" s="65"/>
      <c r="J104" s="9"/>
      <c r="K104" s="9"/>
      <c r="L104" s="6"/>
      <c r="M104" s="6"/>
      <c r="N104" s="6"/>
    </row>
    <row r="105" spans="1:14" x14ac:dyDescent="0.25">
      <c r="A105" s="6"/>
      <c r="B105" s="6"/>
      <c r="C105" s="6"/>
      <c r="D105" s="60"/>
      <c r="E105" s="8"/>
      <c r="F105" s="6"/>
      <c r="G105" s="6"/>
      <c r="H105" s="65"/>
      <c r="I105" s="65"/>
      <c r="J105" s="9"/>
      <c r="K105" s="9"/>
      <c r="L105" s="6"/>
      <c r="M105" s="6"/>
      <c r="N105" s="6"/>
    </row>
    <row r="106" spans="1:14" x14ac:dyDescent="0.25">
      <c r="A106" s="6"/>
      <c r="B106" s="6"/>
      <c r="C106" s="6"/>
      <c r="D106" s="60"/>
      <c r="E106" s="8"/>
      <c r="F106" s="6"/>
      <c r="G106" s="6"/>
      <c r="H106" s="65"/>
      <c r="I106" s="65"/>
      <c r="J106" s="9"/>
      <c r="K106" s="6"/>
      <c r="L106" s="6"/>
      <c r="M106" s="6"/>
      <c r="N106" s="6"/>
    </row>
    <row r="107" spans="1:14" x14ac:dyDescent="0.25">
      <c r="A107" s="6"/>
      <c r="B107" s="6"/>
      <c r="C107" s="6"/>
      <c r="D107" s="60"/>
      <c r="E107" s="8"/>
      <c r="F107" s="6"/>
      <c r="G107" s="6"/>
      <c r="H107" s="65"/>
      <c r="I107" s="65"/>
      <c r="J107" s="9"/>
      <c r="K107" s="6"/>
      <c r="L107" s="6"/>
      <c r="M107" s="6"/>
      <c r="N107" s="6"/>
    </row>
    <row r="108" spans="1:14" x14ac:dyDescent="0.25">
      <c r="A108" s="6"/>
      <c r="B108" s="6"/>
      <c r="C108" s="6"/>
      <c r="D108" s="60"/>
      <c r="E108" s="8"/>
      <c r="F108" s="6"/>
      <c r="G108" s="6"/>
      <c r="H108" s="65"/>
      <c r="I108" s="65"/>
      <c r="J108" s="9"/>
      <c r="K108" s="6"/>
      <c r="L108" s="6"/>
      <c r="M108" s="6"/>
      <c r="N108" s="6"/>
    </row>
    <row r="109" spans="1:14" x14ac:dyDescent="0.25">
      <c r="C109" s="6"/>
      <c r="D109" s="60"/>
      <c r="E109" s="8"/>
      <c r="F109" s="6"/>
      <c r="G109" s="6"/>
      <c r="H109" s="65"/>
      <c r="I109" s="65"/>
      <c r="J109" s="9"/>
      <c r="K109" s="6"/>
      <c r="L109" s="6"/>
      <c r="M109" s="6"/>
      <c r="N109" s="6"/>
    </row>
    <row r="110" spans="1:14" x14ac:dyDescent="0.25">
      <c r="C110" s="6"/>
      <c r="D110" s="60"/>
      <c r="E110" s="8"/>
      <c r="F110" s="6"/>
      <c r="G110" s="6"/>
      <c r="H110" s="65"/>
      <c r="I110" s="65"/>
      <c r="J110" s="9"/>
      <c r="K110" s="6"/>
      <c r="L110" s="6"/>
      <c r="M110" s="6"/>
      <c r="N110" s="6"/>
    </row>
    <row r="111" spans="1:14" x14ac:dyDescent="0.25">
      <c r="C111" s="6"/>
      <c r="D111" s="60"/>
      <c r="E111" s="8"/>
      <c r="F111" s="6"/>
      <c r="G111" s="6"/>
      <c r="H111" s="65"/>
      <c r="I111" s="65"/>
      <c r="J111" s="9"/>
      <c r="K111" s="6"/>
      <c r="L111" s="6"/>
      <c r="M111" s="6"/>
      <c r="N111" s="6"/>
    </row>
    <row r="112" spans="1:14" x14ac:dyDescent="0.25">
      <c r="C112" s="6"/>
      <c r="D112" s="60"/>
      <c r="E112" s="8"/>
      <c r="F112" s="6"/>
      <c r="G112" s="6"/>
      <c r="H112" s="65"/>
      <c r="I112" s="65"/>
      <c r="J112" s="9"/>
      <c r="K112" s="6"/>
      <c r="L112" s="6"/>
      <c r="M112" s="6"/>
      <c r="N112" s="6"/>
    </row>
    <row r="113" spans="1:14" x14ac:dyDescent="0.25">
      <c r="C113" s="6"/>
      <c r="D113" s="60"/>
      <c r="E113" s="8"/>
      <c r="F113" s="6"/>
      <c r="G113" s="6"/>
      <c r="H113" s="65"/>
      <c r="I113" s="65"/>
      <c r="J113" s="9"/>
      <c r="K113" s="6"/>
      <c r="L113" s="6"/>
      <c r="M113" s="6"/>
      <c r="N113" s="6"/>
    </row>
    <row r="114" spans="1:14" x14ac:dyDescent="0.25">
      <c r="C114" s="6"/>
      <c r="D114" s="60"/>
      <c r="E114" s="8"/>
      <c r="F114" s="6"/>
      <c r="G114" s="6"/>
      <c r="H114" s="65"/>
      <c r="I114" s="65"/>
      <c r="J114" s="9"/>
      <c r="K114" s="6"/>
      <c r="L114" s="6"/>
      <c r="M114" s="6"/>
      <c r="N114" s="6"/>
    </row>
    <row r="115" spans="1:14" x14ac:dyDescent="0.25">
      <c r="C115" s="6"/>
      <c r="D115" s="60"/>
      <c r="E115" s="8"/>
      <c r="F115" s="6"/>
      <c r="G115" s="6"/>
      <c r="H115" s="65"/>
      <c r="I115" s="65"/>
      <c r="J115" s="9"/>
      <c r="K115" s="6"/>
      <c r="L115" s="6"/>
      <c r="M115" s="6"/>
      <c r="N115" s="6"/>
    </row>
    <row r="116" spans="1:14" x14ac:dyDescent="0.25">
      <c r="C116" s="6"/>
      <c r="D116" s="60"/>
      <c r="E116" s="8"/>
      <c r="F116" s="6"/>
      <c r="G116" s="6"/>
      <c r="H116" s="65"/>
      <c r="I116" s="65"/>
      <c r="J116" s="9"/>
      <c r="K116" s="6"/>
      <c r="L116" s="6"/>
      <c r="M116" s="6"/>
      <c r="N116" s="6"/>
    </row>
    <row r="117" spans="1:14" x14ac:dyDescent="0.25">
      <c r="C117" s="6"/>
      <c r="D117" s="60"/>
      <c r="E117" s="8"/>
      <c r="F117" s="6"/>
      <c r="G117" s="6"/>
      <c r="H117" s="65"/>
      <c r="I117" s="65"/>
      <c r="J117" s="9"/>
      <c r="K117" s="6"/>
      <c r="L117" s="6"/>
      <c r="M117" s="6"/>
      <c r="N117" s="6"/>
    </row>
    <row r="118" spans="1:14" x14ac:dyDescent="0.25">
      <c r="C118" s="6"/>
      <c r="D118" s="60"/>
      <c r="E118" s="8"/>
      <c r="F118" s="6"/>
      <c r="G118" s="6"/>
      <c r="H118" s="65"/>
      <c r="I118" s="65"/>
      <c r="J118" s="9"/>
      <c r="K118" s="6"/>
      <c r="L118" s="6"/>
      <c r="M118" s="6"/>
      <c r="N118" s="6"/>
    </row>
    <row r="119" spans="1:14" x14ac:dyDescent="0.25">
      <c r="A119" s="6"/>
      <c r="B119" s="6"/>
      <c r="C119" s="6"/>
      <c r="D119" s="60"/>
      <c r="E119" s="8"/>
      <c r="F119" s="6"/>
      <c r="G119" s="6"/>
      <c r="H119" s="65"/>
      <c r="I119" s="65"/>
      <c r="J119" s="9"/>
      <c r="K119" s="6"/>
      <c r="L119" s="6"/>
      <c r="M119" s="6"/>
      <c r="N119" s="6"/>
    </row>
    <row r="120" spans="1:14" x14ac:dyDescent="0.25">
      <c r="A120" s="6"/>
      <c r="B120" s="6"/>
      <c r="C120" s="6"/>
      <c r="D120" s="60"/>
      <c r="E120" s="8"/>
      <c r="F120" s="6"/>
      <c r="G120" s="6"/>
      <c r="H120" s="65"/>
      <c r="I120" s="65"/>
      <c r="J120" s="9"/>
      <c r="K120" s="6"/>
      <c r="L120" s="6"/>
      <c r="M120" s="6"/>
      <c r="N120" s="6"/>
    </row>
    <row r="121" spans="1:14" x14ac:dyDescent="0.25">
      <c r="A121" s="6"/>
      <c r="B121" s="6"/>
      <c r="C121" s="6"/>
      <c r="D121" s="60"/>
      <c r="E121" s="8"/>
      <c r="F121" s="6"/>
      <c r="G121" s="6"/>
      <c r="H121" s="65"/>
      <c r="I121" s="65"/>
      <c r="J121" s="9"/>
      <c r="K121" s="6"/>
      <c r="L121" s="6"/>
      <c r="M121" s="6"/>
      <c r="N121" s="6"/>
    </row>
    <row r="122" spans="1:14" x14ac:dyDescent="0.25">
      <c r="A122" s="6"/>
      <c r="B122" s="6"/>
      <c r="C122" s="6"/>
      <c r="D122" s="60"/>
      <c r="E122" s="8"/>
      <c r="F122" s="6"/>
      <c r="G122" s="6"/>
      <c r="H122" s="65"/>
      <c r="I122" s="65"/>
      <c r="J122" s="9"/>
      <c r="K122" s="6"/>
      <c r="L122" s="6"/>
      <c r="M122" s="6"/>
      <c r="N122" s="6"/>
    </row>
    <row r="123" spans="1:14" x14ac:dyDescent="0.25">
      <c r="A123" s="6"/>
      <c r="B123" s="6"/>
      <c r="C123" s="6"/>
      <c r="D123" s="60"/>
      <c r="E123" s="8"/>
      <c r="F123" s="6"/>
      <c r="G123" s="6"/>
      <c r="H123" s="65"/>
      <c r="I123" s="65"/>
      <c r="J123" s="9"/>
      <c r="K123" s="6"/>
      <c r="L123" s="6"/>
      <c r="M123" s="6"/>
      <c r="N123" s="6"/>
    </row>
    <row r="124" spans="1:14" x14ac:dyDescent="0.25">
      <c r="A124" s="6"/>
      <c r="B124" s="6"/>
      <c r="C124" s="6"/>
      <c r="D124" s="60"/>
      <c r="E124" s="8"/>
      <c r="F124" s="6"/>
      <c r="G124" s="6"/>
      <c r="H124" s="65"/>
      <c r="I124" s="65"/>
      <c r="J124" s="9"/>
      <c r="K124" s="6"/>
      <c r="L124" s="6"/>
      <c r="M124" s="6"/>
      <c r="N124" s="6"/>
    </row>
    <row r="125" spans="1:14" x14ac:dyDescent="0.25">
      <c r="A125" s="6"/>
      <c r="B125" s="6"/>
      <c r="C125" s="6"/>
      <c r="D125" s="60"/>
      <c r="E125" s="8"/>
      <c r="F125" s="6"/>
      <c r="G125" s="6"/>
      <c r="H125" s="65"/>
      <c r="I125" s="65"/>
      <c r="J125" s="9"/>
      <c r="K125" s="6"/>
      <c r="L125" s="6"/>
      <c r="M125" s="6"/>
      <c r="N125" s="6"/>
    </row>
    <row r="126" spans="1:14" x14ac:dyDescent="0.25">
      <c r="A126" s="6"/>
      <c r="B126" s="6"/>
      <c r="C126" s="6"/>
      <c r="D126" s="60"/>
      <c r="E126" s="8"/>
      <c r="F126" s="6"/>
      <c r="G126" s="6"/>
      <c r="H126" s="65"/>
      <c r="I126" s="65"/>
      <c r="J126" s="9"/>
      <c r="K126" s="6"/>
      <c r="L126" s="6"/>
      <c r="M126" s="6"/>
      <c r="N126" s="6"/>
    </row>
    <row r="127" spans="1:14" x14ac:dyDescent="0.25">
      <c r="A127" s="6"/>
      <c r="B127" s="6"/>
      <c r="C127" s="6"/>
      <c r="D127" s="60"/>
      <c r="E127" s="8"/>
      <c r="F127" s="6"/>
      <c r="G127" s="6"/>
      <c r="H127" s="65"/>
      <c r="I127" s="65"/>
      <c r="J127" s="9"/>
      <c r="K127" s="6"/>
      <c r="L127" s="6"/>
      <c r="M127" s="6"/>
      <c r="N127" s="6"/>
    </row>
    <row r="128" spans="1:14" x14ac:dyDescent="0.25">
      <c r="A128" s="6"/>
      <c r="B128" s="6"/>
      <c r="C128" s="6"/>
      <c r="D128" s="60"/>
      <c r="E128" s="8"/>
      <c r="F128" s="6"/>
      <c r="G128" s="6"/>
      <c r="H128" s="65"/>
      <c r="I128" s="65"/>
      <c r="J128" s="9"/>
      <c r="K128" s="6"/>
      <c r="L128" s="6"/>
      <c r="M128" s="6"/>
      <c r="N128" s="6"/>
    </row>
    <row r="129" spans="1:14" x14ac:dyDescent="0.25">
      <c r="A129" s="6"/>
      <c r="B129" s="6"/>
      <c r="C129" s="6"/>
      <c r="D129" s="60"/>
      <c r="E129" s="8"/>
      <c r="F129" s="6"/>
      <c r="G129" s="6"/>
      <c r="H129" s="65"/>
      <c r="I129" s="65"/>
      <c r="J129" s="9"/>
      <c r="K129" s="6"/>
      <c r="L129" s="6"/>
      <c r="M129" s="6"/>
      <c r="N129" s="6"/>
    </row>
    <row r="130" spans="1:14" x14ac:dyDescent="0.25">
      <c r="A130" s="6"/>
      <c r="B130" s="6"/>
      <c r="C130" s="6"/>
      <c r="D130" s="60"/>
      <c r="E130" s="8"/>
      <c r="F130" s="6"/>
      <c r="G130" s="6"/>
      <c r="H130" s="65"/>
      <c r="I130" s="65"/>
      <c r="J130" s="9"/>
      <c r="K130" s="6"/>
      <c r="L130" s="6"/>
      <c r="M130" s="6"/>
      <c r="N130" s="6"/>
    </row>
    <row r="131" spans="1:14" x14ac:dyDescent="0.25">
      <c r="A131" s="6"/>
      <c r="B131" s="6"/>
      <c r="C131" s="6"/>
      <c r="D131" s="60"/>
      <c r="E131" s="8"/>
      <c r="F131" s="6"/>
      <c r="G131" s="6"/>
      <c r="H131" s="65"/>
      <c r="I131" s="65"/>
      <c r="J131" s="9"/>
      <c r="K131" s="6"/>
      <c r="L131" s="6"/>
      <c r="M131" s="6"/>
      <c r="N131" s="6"/>
    </row>
    <row r="132" spans="1:14" x14ac:dyDescent="0.25">
      <c r="A132" s="6"/>
      <c r="B132" s="6"/>
      <c r="C132" s="6"/>
      <c r="D132" s="60"/>
      <c r="E132" s="8"/>
      <c r="F132" s="6"/>
      <c r="G132" s="6"/>
      <c r="H132" s="65"/>
      <c r="I132" s="65"/>
      <c r="J132" s="9"/>
      <c r="K132" s="6"/>
      <c r="L132" s="6"/>
      <c r="M132" s="6"/>
      <c r="N132" s="6"/>
    </row>
    <row r="133" spans="1:14" x14ac:dyDescent="0.25">
      <c r="A133" s="6"/>
      <c r="B133" s="6"/>
      <c r="C133" s="6"/>
      <c r="D133" s="60"/>
      <c r="E133" s="8"/>
      <c r="F133" s="6"/>
      <c r="G133" s="6"/>
      <c r="H133" s="65"/>
      <c r="I133" s="65"/>
      <c r="J133" s="9"/>
      <c r="K133" s="6"/>
      <c r="L133" s="6"/>
      <c r="M133" s="6"/>
      <c r="N133" s="6"/>
    </row>
    <row r="134" spans="1:14" x14ac:dyDescent="0.25">
      <c r="A134" s="6"/>
      <c r="B134" s="6"/>
      <c r="C134" s="6"/>
      <c r="D134" s="60"/>
      <c r="E134" s="8"/>
      <c r="F134" s="6"/>
      <c r="G134" s="6"/>
      <c r="H134" s="65"/>
      <c r="I134" s="65"/>
      <c r="J134" s="9"/>
    </row>
    <row r="135" spans="1:14" x14ac:dyDescent="0.25">
      <c r="A135" s="6"/>
      <c r="B135" s="6"/>
      <c r="C135" s="6"/>
      <c r="E135" s="8"/>
      <c r="F135" s="6"/>
      <c r="G135" s="6"/>
      <c r="H135" s="65"/>
      <c r="I135" s="65"/>
      <c r="J135" s="9"/>
    </row>
  </sheetData>
  <sortState ref="H16:H20">
    <sortCondition ref="H16"/>
  </sortState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7AFE0-F823-418D-AE8F-CCFFCF24BDAF}">
  <sheetPr codeName="Folha9"/>
  <dimension ref="A1:M25"/>
  <sheetViews>
    <sheetView topLeftCell="D1" workbookViewId="0">
      <selection activeCell="F4" sqref="F4:O109"/>
    </sheetView>
  </sheetViews>
  <sheetFormatPr defaultRowHeight="15" x14ac:dyDescent="0.25"/>
  <cols>
    <col min="1" max="1" width="15.7109375" customWidth="1" collapsed="1"/>
    <col min="2" max="2" width="21.85546875" customWidth="1" collapsed="1"/>
    <col min="3" max="3" width="12.85546875" bestFit="1" customWidth="1" collapsed="1"/>
    <col min="4" max="4" width="12.42578125" bestFit="1" customWidth="1" collapsed="1"/>
    <col min="5" max="5" width="19.85546875" bestFit="1" customWidth="1" collapsed="1"/>
    <col min="6" max="6" width="16.85546875" bestFit="1" customWidth="1" collapsed="1"/>
    <col min="7" max="7" width="15.140625" bestFit="1" customWidth="1" collapsed="1"/>
    <col min="8" max="8" width="16.85546875" bestFit="1" customWidth="1" collapsed="1"/>
    <col min="9" max="9" width="10.5703125" bestFit="1" customWidth="1" collapsed="1"/>
    <col min="10" max="10" width="19.85546875" bestFit="1" customWidth="1" collapsed="1"/>
    <col min="11" max="11" width="11.85546875" bestFit="1" customWidth="1" collapsed="1"/>
    <col min="12" max="12" width="18.5703125" bestFit="1" customWidth="1" collapsed="1"/>
    <col min="13" max="13" width="9.5703125" bestFit="1" customWidth="1" collapsed="1"/>
  </cols>
  <sheetData>
    <row r="1" spans="1:13" ht="17.25" x14ac:dyDescent="0.3">
      <c r="A1" s="143" t="s">
        <v>92</v>
      </c>
      <c r="B1" s="144"/>
      <c r="C1" s="144"/>
      <c r="D1" s="144"/>
      <c r="E1" s="144"/>
      <c r="F1" s="144"/>
      <c r="G1" s="144"/>
      <c r="H1" s="144"/>
      <c r="I1" s="144"/>
      <c r="J1" s="145"/>
      <c r="K1" s="9"/>
      <c r="L1" s="30" t="s">
        <v>25</v>
      </c>
      <c r="M1" s="29" t="str">
        <f>IF(ISBLANK(Table15[GEO_VAL]),"OK","NOK")</f>
        <v>OK</v>
      </c>
    </row>
    <row r="2" spans="1:13" ht="17.25" x14ac:dyDescent="0.3">
      <c r="A2" s="17"/>
      <c r="B2" s="17"/>
      <c r="C2" s="17"/>
      <c r="D2" s="17"/>
      <c r="E2" s="17"/>
      <c r="F2" s="17"/>
      <c r="G2" s="17"/>
      <c r="H2" s="17"/>
      <c r="I2" s="17"/>
      <c r="J2" s="17"/>
      <c r="K2" s="9"/>
      <c r="L2" s="9"/>
    </row>
    <row r="3" spans="1:13" x14ac:dyDescent="0.25">
      <c r="A3" s="6" t="s">
        <v>16</v>
      </c>
      <c r="B3" s="6" t="s">
        <v>17</v>
      </c>
      <c r="C3" s="60" t="s">
        <v>18</v>
      </c>
      <c r="D3" s="6" t="s">
        <v>19</v>
      </c>
      <c r="E3" s="66" t="s">
        <v>7</v>
      </c>
      <c r="F3" s="8" t="s">
        <v>280</v>
      </c>
      <c r="G3" s="8" t="s">
        <v>270</v>
      </c>
      <c r="H3" s="60" t="s">
        <v>271</v>
      </c>
      <c r="I3" s="60" t="s">
        <v>272</v>
      </c>
      <c r="J3" s="65" t="s">
        <v>273</v>
      </c>
      <c r="K3" s="9" t="s">
        <v>274</v>
      </c>
      <c r="L3" s="60" t="s">
        <v>275</v>
      </c>
      <c r="M3">
        <v>24000</v>
      </c>
    </row>
    <row r="4" spans="1:13" x14ac:dyDescent="0.25">
      <c r="A4" s="95"/>
      <c r="B4" s="6"/>
      <c r="C4" s="60"/>
      <c r="D4" s="6"/>
      <c r="E4" s="66"/>
      <c r="F4" s="8"/>
      <c r="G4" s="8"/>
      <c r="H4" s="60"/>
      <c r="I4" s="60"/>
      <c r="J4" s="65"/>
      <c r="K4" s="9"/>
      <c r="L4" s="60"/>
    </row>
    <row r="5" spans="1:13" x14ac:dyDescent="0.25">
      <c r="B5" s="6"/>
      <c r="C5" s="60"/>
      <c r="D5" s="6"/>
      <c r="E5" s="66"/>
      <c r="F5" s="8"/>
      <c r="G5" s="8"/>
      <c r="H5" s="60"/>
      <c r="I5" s="60"/>
      <c r="J5" s="65"/>
      <c r="K5" s="9"/>
      <c r="L5" s="60"/>
    </row>
    <row r="6" spans="1:13" x14ac:dyDescent="0.25">
      <c r="B6" s="6"/>
      <c r="C6" s="60"/>
      <c r="D6" s="6"/>
      <c r="E6" s="66"/>
      <c r="F6" s="8"/>
      <c r="G6" s="8"/>
      <c r="H6" s="60"/>
      <c r="I6" s="60"/>
      <c r="J6" s="65"/>
      <c r="K6" s="9"/>
      <c r="L6" s="60"/>
    </row>
    <row r="7" spans="1:13" x14ac:dyDescent="0.25">
      <c r="B7" s="6"/>
      <c r="C7" s="60"/>
      <c r="D7" s="6"/>
      <c r="E7" s="66"/>
      <c r="F7" s="8"/>
      <c r="G7" s="8"/>
      <c r="H7" s="60"/>
      <c r="I7" s="60"/>
      <c r="J7" s="65"/>
      <c r="K7" s="9"/>
      <c r="L7" s="60"/>
    </row>
    <row r="8" spans="1:13" x14ac:dyDescent="0.25">
      <c r="B8" s="6"/>
      <c r="C8" s="60"/>
      <c r="D8" s="6"/>
      <c r="E8" s="66"/>
      <c r="F8" s="8"/>
      <c r="G8" s="8"/>
      <c r="H8" s="60"/>
      <c r="I8" s="60"/>
      <c r="J8" s="65"/>
      <c r="K8" s="9"/>
      <c r="L8" s="60"/>
    </row>
    <row r="9" spans="1:13" x14ac:dyDescent="0.25">
      <c r="B9" s="6"/>
      <c r="C9" s="60"/>
      <c r="D9" s="6"/>
      <c r="E9" s="66"/>
      <c r="F9" s="8"/>
      <c r="G9" s="8"/>
      <c r="H9" s="60"/>
      <c r="I9" s="60"/>
      <c r="J9" s="65"/>
      <c r="K9" s="9"/>
      <c r="L9" s="60"/>
    </row>
    <row r="10" spans="1:13" x14ac:dyDescent="0.25">
      <c r="B10" s="6"/>
      <c r="C10" s="60"/>
      <c r="D10" s="6"/>
      <c r="E10" s="66"/>
      <c r="F10" s="8"/>
      <c r="G10" s="8"/>
      <c r="H10" s="60"/>
      <c r="I10" s="60"/>
      <c r="J10" s="65"/>
      <c r="K10" s="9"/>
      <c r="L10" s="60"/>
    </row>
    <row r="11" spans="1:13" x14ac:dyDescent="0.25">
      <c r="B11" s="6"/>
      <c r="C11" s="60"/>
      <c r="D11" s="6"/>
      <c r="E11" s="66"/>
      <c r="F11" s="8"/>
      <c r="G11" s="8"/>
      <c r="H11" s="60"/>
      <c r="I11" s="60"/>
      <c r="J11" s="65"/>
      <c r="K11" s="9"/>
      <c r="L11" s="60"/>
    </row>
    <row r="12" spans="1:13" x14ac:dyDescent="0.25">
      <c r="B12" s="6"/>
      <c r="C12" s="60"/>
      <c r="D12" s="6"/>
      <c r="E12" s="66"/>
      <c r="F12" s="8"/>
      <c r="G12" s="8"/>
      <c r="H12" s="60"/>
      <c r="I12" s="60"/>
      <c r="J12" s="65"/>
      <c r="K12" s="9"/>
      <c r="L12" s="60"/>
    </row>
    <row r="13" spans="1:13" x14ac:dyDescent="0.25">
      <c r="B13" s="6"/>
      <c r="C13" s="60"/>
      <c r="D13" s="6"/>
      <c r="E13" s="66"/>
      <c r="F13" s="8"/>
      <c r="G13" s="8"/>
      <c r="H13" s="60"/>
      <c r="I13" s="60"/>
      <c r="J13" s="65"/>
      <c r="K13" s="9"/>
      <c r="L13" s="60"/>
    </row>
    <row r="14" spans="1:13" x14ac:dyDescent="0.25">
      <c r="B14" s="6"/>
      <c r="C14" s="128"/>
      <c r="D14" s="14"/>
      <c r="E14" s="66"/>
      <c r="F14" s="8"/>
      <c r="G14" s="8"/>
      <c r="H14" s="60"/>
      <c r="I14" s="60"/>
      <c r="J14" s="65"/>
      <c r="K14" s="9"/>
      <c r="L14" s="60"/>
    </row>
    <row r="15" spans="1:13" x14ac:dyDescent="0.25">
      <c r="B15" s="6"/>
      <c r="C15" s="128"/>
      <c r="D15" s="14"/>
      <c r="E15" s="66"/>
      <c r="F15" s="8"/>
      <c r="G15" s="8"/>
      <c r="H15" s="60"/>
      <c r="I15" s="60"/>
      <c r="J15" s="65"/>
      <c r="K15" s="9"/>
      <c r="L15" s="60"/>
    </row>
    <row r="16" spans="1:13" x14ac:dyDescent="0.25">
      <c r="B16" s="6"/>
      <c r="C16" s="128"/>
      <c r="D16" s="14"/>
      <c r="E16" s="66"/>
      <c r="F16" s="8"/>
      <c r="G16" s="8"/>
      <c r="H16" s="60"/>
      <c r="I16" s="60"/>
      <c r="J16" s="65"/>
      <c r="K16" s="9"/>
      <c r="L16" s="60"/>
    </row>
    <row r="17" spans="2:12" x14ac:dyDescent="0.25">
      <c r="B17" s="6"/>
      <c r="C17" s="128"/>
      <c r="D17" s="14"/>
      <c r="E17" s="66"/>
      <c r="F17" s="8"/>
      <c r="G17" s="8"/>
      <c r="H17" s="60"/>
      <c r="I17" s="60"/>
      <c r="J17" s="65"/>
      <c r="K17" s="9"/>
      <c r="L17" s="60"/>
    </row>
    <row r="18" spans="2:12" x14ac:dyDescent="0.25">
      <c r="B18" s="6"/>
      <c r="C18" s="128"/>
      <c r="D18" s="127"/>
      <c r="E18" s="66"/>
      <c r="F18" s="8"/>
      <c r="G18" s="8"/>
      <c r="H18" s="60"/>
      <c r="I18" s="60"/>
      <c r="J18" s="65"/>
      <c r="K18" s="9"/>
      <c r="L18" s="60"/>
    </row>
    <row r="19" spans="2:12" x14ac:dyDescent="0.25">
      <c r="B19" s="6"/>
      <c r="C19" s="128"/>
      <c r="D19" s="6"/>
      <c r="E19" s="66"/>
      <c r="F19" s="8"/>
      <c r="G19" s="8"/>
      <c r="H19" s="60"/>
      <c r="I19" s="60"/>
      <c r="J19" s="65"/>
      <c r="K19" s="9"/>
      <c r="L19" s="60"/>
    </row>
    <row r="20" spans="2:12" x14ac:dyDescent="0.25">
      <c r="B20" s="6"/>
      <c r="C20" s="128"/>
      <c r="D20" s="6"/>
      <c r="E20" s="66"/>
      <c r="F20" s="8"/>
      <c r="G20" s="8"/>
      <c r="H20" s="60"/>
      <c r="I20" s="60"/>
      <c r="J20" s="65"/>
      <c r="K20" s="9"/>
      <c r="L20" s="60"/>
    </row>
    <row r="21" spans="2:12" x14ac:dyDescent="0.25">
      <c r="B21" s="6"/>
      <c r="C21" s="129"/>
      <c r="D21" s="6"/>
      <c r="E21" s="66"/>
      <c r="F21" s="8"/>
      <c r="G21" s="8"/>
      <c r="H21" s="60"/>
      <c r="I21" s="60"/>
      <c r="J21" s="65"/>
      <c r="K21" s="9"/>
      <c r="L21" s="60"/>
    </row>
    <row r="22" spans="2:12" x14ac:dyDescent="0.25">
      <c r="B22" s="6"/>
      <c r="C22" s="60"/>
      <c r="D22" s="6"/>
      <c r="E22" s="66"/>
      <c r="F22" s="8"/>
      <c r="G22" s="8"/>
      <c r="H22" s="60"/>
      <c r="I22" s="60"/>
      <c r="J22" s="65"/>
      <c r="K22" s="9"/>
      <c r="L22" s="60"/>
    </row>
    <row r="23" spans="2:12" x14ac:dyDescent="0.25">
      <c r="B23" s="6"/>
      <c r="C23" s="60"/>
      <c r="D23" s="6"/>
      <c r="E23" s="66"/>
      <c r="F23" s="8"/>
      <c r="G23" s="8"/>
      <c r="H23" s="60"/>
      <c r="I23" s="60"/>
      <c r="J23" s="65"/>
      <c r="K23" s="9"/>
      <c r="L23" s="60"/>
    </row>
    <row r="24" spans="2:12" x14ac:dyDescent="0.25">
      <c r="B24" s="6"/>
      <c r="C24" s="60"/>
      <c r="D24" s="6"/>
      <c r="E24" s="66"/>
      <c r="F24" s="8"/>
      <c r="G24" s="8"/>
      <c r="H24" s="60"/>
      <c r="I24" s="60"/>
      <c r="J24" s="65"/>
      <c r="K24" s="9"/>
      <c r="L24" s="60"/>
    </row>
    <row r="25" spans="2:12" x14ac:dyDescent="0.25">
      <c r="B25" s="6"/>
      <c r="C25" s="60"/>
      <c r="D25" s="6"/>
      <c r="E25" s="66"/>
      <c r="F25" s="8"/>
      <c r="G25" s="8"/>
      <c r="H25" s="60"/>
      <c r="I25" s="60"/>
      <c r="J25" s="65"/>
      <c r="K25" s="9"/>
      <c r="L25" s="60"/>
    </row>
  </sheetData>
  <sortState ref="D15:D18">
    <sortCondition ref="D14"/>
  </sortState>
  <mergeCells count="1"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F4A4E-136C-4280-96D7-2BBE8AAB2770}">
  <sheetPr codeName="Folha10"/>
  <dimension ref="A1:M10"/>
  <sheetViews>
    <sheetView workbookViewId="0">
      <selection activeCell="A4" sqref="A4:XFD4"/>
    </sheetView>
  </sheetViews>
  <sheetFormatPr defaultRowHeight="15" x14ac:dyDescent="0.25"/>
  <cols>
    <col min="1" max="1" width="9.140625" bestFit="1" customWidth="1" collapsed="1"/>
    <col min="2" max="2" width="18.85546875" bestFit="1" customWidth="1" collapsed="1"/>
    <col min="3" max="3" width="12.85546875" bestFit="1" customWidth="1" collapsed="1"/>
    <col min="4" max="4" width="31.42578125" bestFit="1" customWidth="1" collapsed="1"/>
    <col min="5" max="5" width="19.85546875" bestFit="1" customWidth="1" collapsed="1"/>
    <col min="6" max="6" width="16.85546875" bestFit="1" customWidth="1" collapsed="1"/>
    <col min="7" max="7" width="15.140625" bestFit="1" customWidth="1" collapsed="1"/>
    <col min="8" max="8" width="16.85546875" bestFit="1" customWidth="1" collapsed="1"/>
    <col min="9" max="9" width="10.140625" bestFit="1" customWidth="1" collapsed="1"/>
    <col min="10" max="10" width="19.85546875" customWidth="1" collapsed="1"/>
    <col min="11" max="11" width="11.85546875" bestFit="1" customWidth="1" collapsed="1"/>
    <col min="12" max="12" width="18.5703125" bestFit="1" customWidth="1" collapsed="1"/>
    <col min="13" max="13" width="9.5703125" bestFit="1" customWidth="1" collapsed="1"/>
  </cols>
  <sheetData>
    <row r="1" spans="1:13" ht="17.25" x14ac:dyDescent="0.3">
      <c r="A1" s="143" t="s">
        <v>99</v>
      </c>
      <c r="B1" s="144"/>
      <c r="C1" s="144"/>
      <c r="D1" s="144"/>
      <c r="E1" s="144"/>
      <c r="F1" s="144"/>
      <c r="G1" s="144"/>
      <c r="H1" s="144"/>
      <c r="I1" s="144"/>
      <c r="J1" s="145"/>
      <c r="K1" s="9"/>
      <c r="L1" s="30" t="s">
        <v>25</v>
      </c>
      <c r="M1" s="29" t="str">
        <f>IF(ISBLANK(Table1518[SP_ID]),"OK","NOK")</f>
        <v>OK</v>
      </c>
    </row>
    <row r="2" spans="1:13" ht="17.25" x14ac:dyDescent="0.3">
      <c r="A2" s="17"/>
      <c r="B2" s="17"/>
      <c r="C2" s="17"/>
      <c r="D2" s="17"/>
      <c r="E2" s="17"/>
      <c r="F2" s="17"/>
      <c r="G2" s="17"/>
      <c r="H2" s="17"/>
      <c r="I2" s="17"/>
      <c r="J2" s="17"/>
      <c r="K2" s="9"/>
      <c r="L2" s="9"/>
    </row>
    <row r="3" spans="1:13" x14ac:dyDescent="0.25">
      <c r="A3" s="6" t="s">
        <v>16</v>
      </c>
      <c r="B3" s="6" t="s">
        <v>9</v>
      </c>
      <c r="C3" s="60" t="s">
        <v>100</v>
      </c>
      <c r="D3" s="6" t="s">
        <v>101</v>
      </c>
      <c r="E3" s="66"/>
      <c r="F3" s="8"/>
      <c r="G3" s="8"/>
      <c r="H3" s="60"/>
      <c r="I3" s="60"/>
      <c r="J3" s="65"/>
      <c r="K3" s="9"/>
      <c r="L3" s="60"/>
    </row>
    <row r="4" spans="1:13" x14ac:dyDescent="0.25">
      <c r="A4" s="6"/>
      <c r="B4" s="6"/>
      <c r="C4" s="60"/>
      <c r="D4" s="6"/>
      <c r="E4" s="66"/>
      <c r="F4" s="8"/>
      <c r="G4" s="8"/>
      <c r="H4" s="60"/>
      <c r="I4" s="60"/>
      <c r="J4" s="65"/>
      <c r="K4" s="9"/>
      <c r="L4" s="60"/>
    </row>
    <row r="10" spans="1:13" x14ac:dyDescent="0.25">
      <c r="F10" s="67"/>
    </row>
  </sheetData>
  <mergeCells count="1"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FF8F6-A289-4FA4-AC8F-34CC8C1DA5B0}">
  <sheetPr codeName="Folha11"/>
  <dimension ref="A1:M10"/>
  <sheetViews>
    <sheetView topLeftCell="B1" workbookViewId="0">
      <selection activeCell="J21" sqref="J21"/>
    </sheetView>
  </sheetViews>
  <sheetFormatPr defaultRowHeight="15" x14ac:dyDescent="0.25"/>
  <cols>
    <col min="1" max="1" width="9.140625" bestFit="1" customWidth="1" collapsed="1"/>
    <col min="2" max="2" width="18.85546875" bestFit="1" customWidth="1" collapsed="1"/>
    <col min="3" max="3" width="12.85546875" bestFit="1" customWidth="1" collapsed="1"/>
    <col min="4" max="4" width="12.42578125" bestFit="1" customWidth="1" collapsed="1"/>
    <col min="5" max="5" width="19.85546875" bestFit="1" customWidth="1" collapsed="1"/>
    <col min="6" max="6" width="16.85546875" bestFit="1" customWidth="1" collapsed="1"/>
    <col min="7" max="7" width="15.140625" bestFit="1" customWidth="1" collapsed="1"/>
    <col min="8" max="8" width="16.85546875" bestFit="1" customWidth="1" collapsed="1"/>
    <col min="9" max="9" width="10.140625" bestFit="1" customWidth="1" collapsed="1"/>
    <col min="10" max="10" width="19.85546875" bestFit="1" customWidth="1" collapsed="1"/>
    <col min="11" max="11" width="11.85546875" bestFit="1" customWidth="1" collapsed="1"/>
    <col min="12" max="12" width="18.5703125" bestFit="1" customWidth="1" collapsed="1"/>
    <col min="13" max="13" width="9.5703125" bestFit="1" customWidth="1" collapsed="1"/>
  </cols>
  <sheetData>
    <row r="1" spans="1:13" ht="17.25" x14ac:dyDescent="0.3">
      <c r="A1" s="143" t="s">
        <v>98</v>
      </c>
      <c r="B1" s="144"/>
      <c r="C1" s="144"/>
      <c r="D1" s="144"/>
      <c r="E1" s="144"/>
      <c r="F1" s="144"/>
      <c r="G1" s="144"/>
      <c r="H1" s="144"/>
      <c r="I1" s="144"/>
      <c r="J1" s="145"/>
      <c r="K1" s="9"/>
      <c r="L1" s="30" t="s">
        <v>25</v>
      </c>
      <c r="M1" s="29" t="str">
        <f>IF(ISBLANK(Table151819[SP_ID]),"OK","NOK")</f>
        <v>OK</v>
      </c>
    </row>
    <row r="2" spans="1:13" ht="17.25" x14ac:dyDescent="0.3">
      <c r="A2" s="17"/>
      <c r="B2" s="17"/>
      <c r="C2" s="17"/>
      <c r="D2" s="17"/>
      <c r="E2" s="17"/>
      <c r="F2" s="17"/>
      <c r="G2" s="17"/>
      <c r="H2" s="17"/>
      <c r="I2" s="17"/>
      <c r="J2" s="17"/>
      <c r="K2" s="9"/>
      <c r="L2" s="9"/>
    </row>
    <row r="3" spans="1:13" x14ac:dyDescent="0.25">
      <c r="A3" s="6" t="s">
        <v>16</v>
      </c>
      <c r="B3" s="6" t="s">
        <v>17</v>
      </c>
      <c r="C3" s="60" t="s">
        <v>18</v>
      </c>
      <c r="D3" s="6" t="s">
        <v>19</v>
      </c>
      <c r="E3" s="66" t="s">
        <v>7</v>
      </c>
      <c r="F3" s="8" t="s">
        <v>80</v>
      </c>
      <c r="G3" s="8" t="s">
        <v>8</v>
      </c>
      <c r="H3" s="60" t="s">
        <v>9</v>
      </c>
      <c r="I3" s="60" t="s">
        <v>10</v>
      </c>
      <c r="J3" s="65" t="s">
        <v>11</v>
      </c>
      <c r="K3" s="9" t="s">
        <v>83</v>
      </c>
      <c r="L3" s="60" t="s">
        <v>13</v>
      </c>
    </row>
    <row r="4" spans="1:13" x14ac:dyDescent="0.25">
      <c r="A4" s="6"/>
      <c r="B4" s="6"/>
      <c r="C4" s="60"/>
      <c r="D4" s="6"/>
      <c r="E4" s="66"/>
      <c r="F4" s="8"/>
      <c r="G4" s="8"/>
      <c r="H4" s="60"/>
      <c r="I4" s="60"/>
      <c r="J4" s="65"/>
      <c r="K4" s="9"/>
      <c r="L4" s="60"/>
    </row>
    <row r="10" spans="1:13" x14ac:dyDescent="0.25">
      <c r="F10" s="67"/>
    </row>
  </sheetData>
  <mergeCells count="1"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84F3B-19D0-4D3F-A99B-7ABE34156A49}">
  <sheetPr codeName="Folha12"/>
  <dimension ref="A1:Q15"/>
  <sheetViews>
    <sheetView workbookViewId="0">
      <selection activeCell="M1" sqref="M1"/>
    </sheetView>
  </sheetViews>
  <sheetFormatPr defaultRowHeight="15" x14ac:dyDescent="0.25"/>
  <cols>
    <col min="1" max="1" width="18.5703125" bestFit="1" customWidth="1" collapsed="1"/>
    <col min="2" max="2" width="13.85546875" customWidth="1" collapsed="1"/>
    <col min="3" max="3" width="17.28515625" customWidth="1" collapsed="1"/>
    <col min="4" max="4" width="18.5703125" customWidth="1" collapsed="1"/>
    <col min="5" max="5" width="16.42578125" customWidth="1" collapsed="1"/>
    <col min="6" max="6" width="14.28515625" customWidth="1" collapsed="1"/>
    <col min="7" max="7" width="10.85546875" customWidth="1" collapsed="1"/>
    <col min="9" max="9" width="10" customWidth="1" collapsed="1"/>
    <col min="10" max="10" width="10.42578125" customWidth="1" collapsed="1"/>
    <col min="12" max="12" width="12" customWidth="1" collapsed="1"/>
    <col min="13" max="13" width="11.28515625" customWidth="1" collapsed="1"/>
    <col min="14" max="14" width="18.28515625" customWidth="1" collapsed="1"/>
    <col min="15" max="15" width="18.140625" customWidth="1" collapsed="1"/>
    <col min="16" max="16" width="17.85546875" customWidth="1" collapsed="1"/>
    <col min="17" max="17" width="18" customWidth="1" collapsed="1"/>
  </cols>
  <sheetData>
    <row r="1" spans="1:17" ht="17.100000000000001" customHeight="1" x14ac:dyDescent="0.3">
      <c r="A1" s="149" t="s">
        <v>138</v>
      </c>
      <c r="B1" s="139"/>
      <c r="C1" s="139"/>
      <c r="D1" s="139"/>
      <c r="E1" s="139"/>
      <c r="F1" s="139"/>
      <c r="G1" s="139"/>
      <c r="H1" s="139"/>
      <c r="I1" s="139"/>
      <c r="J1" s="139"/>
      <c r="K1" s="88"/>
      <c r="L1" s="30" t="s">
        <v>25</v>
      </c>
      <c r="M1" s="29" t="str">
        <f>IF(ISBLANK(Table24[CSPROC_ID]),"OK","NOK")</f>
        <v>OK</v>
      </c>
    </row>
    <row r="4" spans="1:17" x14ac:dyDescent="0.25">
      <c r="A4" t="s">
        <v>18</v>
      </c>
      <c r="B4" t="s">
        <v>144</v>
      </c>
      <c r="C4" t="s">
        <v>145</v>
      </c>
      <c r="D4" t="s">
        <v>146</v>
      </c>
      <c r="E4" t="s">
        <v>79</v>
      </c>
      <c r="F4" t="s">
        <v>147</v>
      </c>
      <c r="G4" t="s">
        <v>148</v>
      </c>
      <c r="H4" t="s">
        <v>16</v>
      </c>
      <c r="I4" t="s">
        <v>149</v>
      </c>
      <c r="J4" t="s">
        <v>150</v>
      </c>
      <c r="K4" t="s">
        <v>151</v>
      </c>
      <c r="L4" t="s">
        <v>152</v>
      </c>
      <c r="M4" t="s">
        <v>153</v>
      </c>
      <c r="N4" t="s">
        <v>154</v>
      </c>
      <c r="O4" t="s">
        <v>155</v>
      </c>
      <c r="P4" t="s">
        <v>156</v>
      </c>
      <c r="Q4" t="s">
        <v>157</v>
      </c>
    </row>
    <row r="15" spans="1:17" x14ac:dyDescent="0.25">
      <c r="A15" t="s">
        <v>162</v>
      </c>
    </row>
  </sheetData>
  <mergeCells count="1"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214F0-6FB9-4C62-AAC9-C5EB65E398D0}">
  <sheetPr codeName="Folha13"/>
  <dimension ref="A1:I10"/>
  <sheetViews>
    <sheetView workbookViewId="0">
      <selection activeCell="G13" sqref="G13"/>
    </sheetView>
  </sheetViews>
  <sheetFormatPr defaultRowHeight="15" x14ac:dyDescent="0.25"/>
  <cols>
    <col min="2" max="2" width="18" customWidth="1" collapsed="1"/>
    <col min="3" max="3" width="23" customWidth="1" collapsed="1"/>
  </cols>
  <sheetData>
    <row r="1" spans="1:9" ht="17.25" x14ac:dyDescent="0.3">
      <c r="A1" s="27" t="s">
        <v>190</v>
      </c>
      <c r="H1" s="30" t="s">
        <v>25</v>
      </c>
      <c r="I1" s="29" t="s">
        <v>23</v>
      </c>
    </row>
    <row r="5" spans="1:9" x14ac:dyDescent="0.25">
      <c r="B5" t="s">
        <v>187</v>
      </c>
      <c r="C5" t="s">
        <v>188</v>
      </c>
    </row>
    <row r="9" spans="1:9" x14ac:dyDescent="0.25">
      <c r="B9" s="106"/>
    </row>
    <row r="10" spans="1:9" x14ac:dyDescent="0.25">
      <c r="B10" s="10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1DA8A-27F2-437F-AA62-F5D2466189B9}">
  <sheetPr codeName="Folha14"/>
  <dimension ref="A1:X31"/>
  <sheetViews>
    <sheetView workbookViewId="0">
      <selection activeCell="G23" sqref="G23"/>
    </sheetView>
  </sheetViews>
  <sheetFormatPr defaultRowHeight="15" x14ac:dyDescent="0.25"/>
  <cols>
    <col min="1" max="1" width="20.28515625" customWidth="1" collapsed="1"/>
    <col min="2" max="2" width="22.28515625" bestFit="1" customWidth="1" collapsed="1"/>
    <col min="3" max="3" width="17.7109375" bestFit="1" customWidth="1" collapsed="1"/>
    <col min="4" max="4" width="20.140625" customWidth="1" collapsed="1"/>
    <col min="5" max="5" width="8.7109375" customWidth="1" collapsed="1"/>
    <col min="8" max="8" width="13.42578125" customWidth="1" collapsed="1"/>
    <col min="9" max="9" width="13.5703125" customWidth="1" collapsed="1"/>
    <col min="10" max="10" width="17.28515625" customWidth="1" collapsed="1"/>
    <col min="11" max="11" width="18.5703125" customWidth="1" collapsed="1"/>
    <col min="12" max="12" width="16.42578125" customWidth="1" collapsed="1"/>
    <col min="13" max="13" width="14.28515625" customWidth="1" collapsed="1"/>
    <col min="14" max="14" width="10.85546875" customWidth="1" collapsed="1"/>
    <col min="16" max="16" width="10" customWidth="1" collapsed="1"/>
    <col min="17" max="17" width="10.42578125" customWidth="1" collapsed="1"/>
    <col min="19" max="19" width="12" customWidth="1" collapsed="1"/>
    <col min="20" max="20" width="11.28515625" customWidth="1" collapsed="1"/>
    <col min="21" max="21" width="18.28515625" customWidth="1" collapsed="1"/>
    <col min="22" max="22" width="18.140625" customWidth="1" collapsed="1"/>
    <col min="23" max="23" width="17.85546875" customWidth="1" collapsed="1"/>
    <col min="24" max="24" width="18" customWidth="1" collapsed="1"/>
  </cols>
  <sheetData>
    <row r="1" spans="1:18" ht="17.25" x14ac:dyDescent="0.3">
      <c r="A1" s="27" t="s">
        <v>189</v>
      </c>
      <c r="B1" s="28"/>
      <c r="C1" s="28"/>
      <c r="H1" s="30" t="s">
        <v>25</v>
      </c>
      <c r="I1" s="29" t="str">
        <f>IF(ISBLANK(Table25[CSPROC_ID]),"OK","NOK")</f>
        <v>OK</v>
      </c>
    </row>
    <row r="6" spans="1:18" x14ac:dyDescent="0.25">
      <c r="A6" t="s">
        <v>18</v>
      </c>
      <c r="B6" t="s">
        <v>144</v>
      </c>
      <c r="C6" t="s">
        <v>145</v>
      </c>
      <c r="D6" t="s">
        <v>146</v>
      </c>
      <c r="E6" t="s">
        <v>79</v>
      </c>
      <c r="F6" t="s">
        <v>147</v>
      </c>
      <c r="G6" t="s">
        <v>148</v>
      </c>
      <c r="H6" t="s">
        <v>16</v>
      </c>
      <c r="I6" t="s">
        <v>149</v>
      </c>
      <c r="J6" t="s">
        <v>150</v>
      </c>
      <c r="K6" t="s">
        <v>151</v>
      </c>
      <c r="L6" t="s">
        <v>152</v>
      </c>
      <c r="M6" t="s">
        <v>153</v>
      </c>
      <c r="N6" t="s">
        <v>154</v>
      </c>
      <c r="O6" t="s">
        <v>155</v>
      </c>
      <c r="P6" t="s">
        <v>156</v>
      </c>
      <c r="Q6" t="s">
        <v>157</v>
      </c>
      <c r="R6" t="s">
        <v>205</v>
      </c>
    </row>
    <row r="7" spans="1:18" x14ac:dyDescent="0.25">
      <c r="A7" s="112"/>
      <c r="D7" s="63"/>
      <c r="N7" s="63"/>
    </row>
    <row r="8" spans="1:18" x14ac:dyDescent="0.25">
      <c r="A8" s="112"/>
      <c r="D8" s="63"/>
      <c r="N8" s="63"/>
    </row>
    <row r="9" spans="1:18" x14ac:dyDescent="0.25">
      <c r="A9" s="112"/>
      <c r="D9" s="63"/>
      <c r="N9" s="63"/>
    </row>
    <row r="10" spans="1:18" x14ac:dyDescent="0.25">
      <c r="A10" s="112"/>
      <c r="D10" s="63"/>
      <c r="N10" s="63"/>
    </row>
    <row r="11" spans="1:18" x14ac:dyDescent="0.25">
      <c r="A11" s="112"/>
      <c r="D11" s="63"/>
      <c r="N11" s="63"/>
    </row>
    <row r="12" spans="1:18" x14ac:dyDescent="0.25">
      <c r="A12" s="112"/>
      <c r="D12" s="63"/>
      <c r="N12" s="63"/>
    </row>
    <row r="13" spans="1:18" x14ac:dyDescent="0.25">
      <c r="A13" s="112"/>
      <c r="D13" s="63"/>
      <c r="N13" s="63"/>
    </row>
    <row r="14" spans="1:18" x14ac:dyDescent="0.25">
      <c r="A14" s="112"/>
      <c r="D14" s="63"/>
      <c r="N14" s="63"/>
    </row>
    <row r="15" spans="1:18" x14ac:dyDescent="0.25">
      <c r="A15" s="112"/>
      <c r="D15" s="63"/>
      <c r="N15" s="63"/>
    </row>
    <row r="16" spans="1:18" x14ac:dyDescent="0.25">
      <c r="A16" s="112"/>
      <c r="D16" s="63"/>
      <c r="N16" s="63"/>
    </row>
    <row r="17" spans="1:14" x14ac:dyDescent="0.25">
      <c r="A17" s="112"/>
      <c r="D17" s="63"/>
      <c r="N17" s="63"/>
    </row>
    <row r="18" spans="1:14" x14ac:dyDescent="0.25">
      <c r="A18" s="112"/>
      <c r="D18" s="63"/>
      <c r="N18" s="63"/>
    </row>
    <row r="19" spans="1:14" x14ac:dyDescent="0.25">
      <c r="A19" s="112"/>
      <c r="D19" s="63"/>
      <c r="N19" s="63"/>
    </row>
    <row r="20" spans="1:14" x14ac:dyDescent="0.25">
      <c r="A20" s="112"/>
      <c r="D20" s="63"/>
      <c r="N20" s="63"/>
    </row>
    <row r="21" spans="1:14" x14ac:dyDescent="0.25">
      <c r="A21" s="112"/>
      <c r="D21" s="63"/>
      <c r="N21" s="63"/>
    </row>
    <row r="22" spans="1:14" x14ac:dyDescent="0.25">
      <c r="A22" s="112"/>
      <c r="D22" s="63"/>
      <c r="N22" s="63"/>
    </row>
    <row r="23" spans="1:14" x14ac:dyDescent="0.25">
      <c r="A23" s="112"/>
      <c r="D23" s="63"/>
      <c r="N23" s="63"/>
    </row>
    <row r="24" spans="1:14" x14ac:dyDescent="0.25">
      <c r="A24" s="112"/>
      <c r="D24" s="63"/>
      <c r="N24" s="63"/>
    </row>
    <row r="25" spans="1:14" x14ac:dyDescent="0.25">
      <c r="A25" s="112"/>
      <c r="D25" s="63"/>
      <c r="N25" s="63"/>
    </row>
    <row r="26" spans="1:14" x14ac:dyDescent="0.25">
      <c r="A26" s="112"/>
      <c r="D26" s="63"/>
      <c r="N26" s="63"/>
    </row>
    <row r="27" spans="1:14" x14ac:dyDescent="0.25">
      <c r="A27" s="112"/>
      <c r="D27" s="63"/>
      <c r="N27" s="63"/>
    </row>
    <row r="28" spans="1:14" x14ac:dyDescent="0.25">
      <c r="A28" s="112"/>
      <c r="D28" s="63"/>
      <c r="N28" s="63"/>
    </row>
    <row r="29" spans="1:14" x14ac:dyDescent="0.25">
      <c r="A29" s="112"/>
      <c r="D29" s="63"/>
      <c r="N29" s="63"/>
    </row>
    <row r="30" spans="1:14" x14ac:dyDescent="0.25">
      <c r="A30" s="112"/>
      <c r="D30" s="63"/>
      <c r="N30" s="63"/>
    </row>
    <row r="31" spans="1:14" x14ac:dyDescent="0.25">
      <c r="A31" s="112"/>
      <c r="D31" s="63"/>
      <c r="N31" s="63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3F547-4AE4-442A-B37E-00EFBB2B3AC0}">
  <sheetPr codeName="Folha15"/>
  <dimension ref="A1:I9"/>
  <sheetViews>
    <sheetView workbookViewId="0">
      <selection activeCell="H14" sqref="H14"/>
    </sheetView>
  </sheetViews>
  <sheetFormatPr defaultRowHeight="15" x14ac:dyDescent="0.25"/>
  <cols>
    <col min="3" max="3" width="14.5703125" customWidth="1" collapsed="1"/>
    <col min="4" max="4" width="19.5703125" customWidth="1" collapsed="1"/>
    <col min="7" max="7" width="9.28515625" customWidth="1" collapsed="1"/>
  </cols>
  <sheetData>
    <row r="1" spans="1:9" ht="17.25" x14ac:dyDescent="0.3">
      <c r="A1" s="27" t="s">
        <v>198</v>
      </c>
      <c r="B1" s="28"/>
      <c r="C1" s="28"/>
      <c r="H1" s="30" t="s">
        <v>25</v>
      </c>
      <c r="I1" s="29" t="str">
        <f>IF(ISBLANK(Table7[msg_in_err]),"OK","NOK")</f>
        <v>OK</v>
      </c>
    </row>
    <row r="9" spans="1:9" x14ac:dyDescent="0.25">
      <c r="C9" t="s">
        <v>199</v>
      </c>
      <c r="D9" t="s">
        <v>200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50F60-2B22-4D46-8B4D-734CF68D9AC4}">
  <sheetPr codeName="Folha16"/>
  <dimension ref="C1:K35"/>
  <sheetViews>
    <sheetView topLeftCell="C1" workbookViewId="0">
      <selection activeCell="L20" sqref="L20"/>
    </sheetView>
  </sheetViews>
  <sheetFormatPr defaultRowHeight="15" x14ac:dyDescent="0.25"/>
  <cols>
    <col min="4" max="4" width="19.140625" customWidth="1" collapsed="1"/>
    <col min="5" max="5" width="23.140625" bestFit="1" customWidth="1" collapsed="1"/>
    <col min="6" max="6" width="18.5703125" customWidth="1" collapsed="1"/>
  </cols>
  <sheetData>
    <row r="1" spans="3:11" ht="17.25" x14ac:dyDescent="0.3">
      <c r="C1" s="27" t="s">
        <v>206</v>
      </c>
      <c r="D1" s="28"/>
      <c r="E1" s="28"/>
      <c r="J1" s="30" t="s">
        <v>25</v>
      </c>
      <c r="K1" s="29" t="str">
        <f>IF(ISBLANK(Table23[CSPROC_ID]),"OK","NOK")</f>
        <v>OK</v>
      </c>
    </row>
    <row r="4" spans="3:11" x14ac:dyDescent="0.25">
      <c r="D4" t="s">
        <v>18</v>
      </c>
      <c r="E4" t="s">
        <v>144</v>
      </c>
      <c r="F4" t="s">
        <v>146</v>
      </c>
    </row>
    <row r="5" spans="3:11" x14ac:dyDescent="0.25">
      <c r="D5" s="112"/>
      <c r="F5" s="63"/>
    </row>
    <row r="6" spans="3:11" x14ac:dyDescent="0.25">
      <c r="D6" s="112"/>
      <c r="F6" s="63"/>
    </row>
    <row r="7" spans="3:11" x14ac:dyDescent="0.25">
      <c r="D7" s="112"/>
      <c r="F7" s="63"/>
    </row>
    <row r="8" spans="3:11" x14ac:dyDescent="0.25">
      <c r="D8" s="112"/>
      <c r="F8" s="63"/>
    </row>
    <row r="9" spans="3:11" x14ac:dyDescent="0.25">
      <c r="D9" s="112"/>
      <c r="F9" s="63"/>
    </row>
    <row r="10" spans="3:11" x14ac:dyDescent="0.25">
      <c r="D10" s="112"/>
      <c r="F10" s="63"/>
    </row>
    <row r="11" spans="3:11" x14ac:dyDescent="0.25">
      <c r="D11" s="112"/>
      <c r="F11" s="63"/>
    </row>
    <row r="12" spans="3:11" x14ac:dyDescent="0.25">
      <c r="D12" s="112"/>
      <c r="F12" s="63"/>
    </row>
    <row r="13" spans="3:11" x14ac:dyDescent="0.25">
      <c r="D13" s="112"/>
      <c r="F13" s="63"/>
    </row>
    <row r="14" spans="3:11" x14ac:dyDescent="0.25">
      <c r="D14" s="112"/>
      <c r="F14" s="63"/>
    </row>
    <row r="15" spans="3:11" x14ac:dyDescent="0.25">
      <c r="D15" s="112"/>
      <c r="F15" s="63"/>
    </row>
    <row r="16" spans="3:11" x14ac:dyDescent="0.25">
      <c r="D16" s="112"/>
      <c r="F16" s="63"/>
    </row>
    <row r="17" spans="4:6" x14ac:dyDescent="0.25">
      <c r="D17" s="112"/>
      <c r="F17" s="63"/>
    </row>
    <row r="18" spans="4:6" x14ac:dyDescent="0.25">
      <c r="D18" s="112"/>
      <c r="F18" s="63"/>
    </row>
    <row r="19" spans="4:6" x14ac:dyDescent="0.25">
      <c r="D19" s="112"/>
      <c r="F19" s="63"/>
    </row>
    <row r="20" spans="4:6" x14ac:dyDescent="0.25">
      <c r="D20" s="112"/>
      <c r="F20" s="63"/>
    </row>
    <row r="21" spans="4:6" x14ac:dyDescent="0.25">
      <c r="D21" s="112"/>
      <c r="F21" s="63"/>
    </row>
    <row r="22" spans="4:6" x14ac:dyDescent="0.25">
      <c r="D22" s="112"/>
      <c r="F22" s="63"/>
    </row>
    <row r="23" spans="4:6" x14ac:dyDescent="0.25">
      <c r="D23" s="112"/>
      <c r="F23" s="63"/>
    </row>
    <row r="24" spans="4:6" x14ac:dyDescent="0.25">
      <c r="D24" s="112"/>
      <c r="F24" s="63"/>
    </row>
    <row r="25" spans="4:6" x14ac:dyDescent="0.25">
      <c r="D25" s="112"/>
      <c r="F25" s="63"/>
    </row>
    <row r="26" spans="4:6" x14ac:dyDescent="0.25">
      <c r="D26" s="112"/>
      <c r="F26" s="63"/>
    </row>
    <row r="27" spans="4:6" x14ac:dyDescent="0.25">
      <c r="D27" s="112"/>
      <c r="F27" s="63"/>
    </row>
    <row r="28" spans="4:6" x14ac:dyDescent="0.25">
      <c r="D28" s="112"/>
      <c r="F28" s="63"/>
    </row>
    <row r="29" spans="4:6" x14ac:dyDescent="0.25">
      <c r="D29" s="112"/>
      <c r="F29" s="63"/>
    </row>
    <row r="30" spans="4:6" x14ac:dyDescent="0.25">
      <c r="D30" s="112"/>
      <c r="F30" s="63"/>
    </row>
    <row r="31" spans="4:6" x14ac:dyDescent="0.25">
      <c r="D31" s="112"/>
      <c r="F31" s="63"/>
    </row>
    <row r="32" spans="4:6" x14ac:dyDescent="0.25">
      <c r="D32" s="112"/>
      <c r="F32" s="63"/>
    </row>
    <row r="33" spans="4:6" x14ac:dyDescent="0.25">
      <c r="D33" s="112"/>
      <c r="F33" s="63"/>
    </row>
    <row r="34" spans="4:6" x14ac:dyDescent="0.25">
      <c r="D34" s="112"/>
      <c r="F34" s="63"/>
    </row>
    <row r="35" spans="4:6" x14ac:dyDescent="0.25">
      <c r="D35" s="112"/>
      <c r="F35" s="63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lha17"/>
  <dimension ref="A1:S120"/>
  <sheetViews>
    <sheetView workbookViewId="0">
      <selection activeCell="J20" sqref="J20:J21"/>
    </sheetView>
  </sheetViews>
  <sheetFormatPr defaultRowHeight="15" x14ac:dyDescent="0.25"/>
  <cols>
    <col min="1" max="1" width="16" customWidth="1" collapsed="1"/>
    <col min="2" max="2" width="13.85546875" customWidth="1" collapsed="1"/>
    <col min="3" max="3" width="14.140625" customWidth="1" collapsed="1"/>
    <col min="6" max="6" width="18.140625" customWidth="1" collapsed="1"/>
    <col min="7" max="7" width="15.5703125" customWidth="1" collapsed="1"/>
    <col min="8" max="8" width="16.140625" customWidth="1" collapsed="1"/>
    <col min="9" max="9" width="17.42578125" customWidth="1" collapsed="1"/>
    <col min="10" max="10" width="15.140625" customWidth="1" collapsed="1"/>
  </cols>
  <sheetData>
    <row r="1" spans="1:19" ht="17.25" x14ac:dyDescent="0.3">
      <c r="A1" s="143" t="s">
        <v>5</v>
      </c>
      <c r="B1" s="144"/>
      <c r="C1" s="144"/>
      <c r="D1" s="144"/>
      <c r="E1" s="144"/>
      <c r="F1" s="144"/>
      <c r="G1" s="144"/>
      <c r="H1" s="144"/>
      <c r="I1" s="144"/>
      <c r="J1" s="145"/>
      <c r="K1" s="1"/>
      <c r="L1" s="30"/>
      <c r="M1" s="29"/>
      <c r="N1" s="1"/>
    </row>
    <row r="2" spans="1:19" ht="17.25" x14ac:dyDescent="0.3">
      <c r="A2" s="1"/>
      <c r="B2" s="1"/>
      <c r="C2" s="58"/>
      <c r="D2" s="1"/>
      <c r="E2" s="58"/>
      <c r="F2" s="1"/>
      <c r="G2" s="1"/>
      <c r="H2" s="1"/>
      <c r="I2" s="58"/>
      <c r="J2" s="58"/>
      <c r="K2" s="1"/>
      <c r="L2" s="1"/>
      <c r="M2" s="1"/>
      <c r="N2" s="1"/>
    </row>
    <row r="3" spans="1:19" ht="15.75" thickBot="1" x14ac:dyDescent="0.3">
      <c r="A3" s="4" t="s">
        <v>16</v>
      </c>
      <c r="B3" s="5" t="s">
        <v>17</v>
      </c>
      <c r="C3" s="62" t="s">
        <v>18</v>
      </c>
      <c r="D3" s="5" t="s">
        <v>79</v>
      </c>
      <c r="E3" s="62" t="s">
        <v>19</v>
      </c>
      <c r="F3" s="5" t="s">
        <v>7</v>
      </c>
      <c r="G3" s="5" t="s">
        <v>80</v>
      </c>
      <c r="H3" s="5" t="s">
        <v>8</v>
      </c>
      <c r="I3" s="62" t="s">
        <v>9</v>
      </c>
      <c r="J3" s="59" t="s">
        <v>10</v>
      </c>
      <c r="K3" s="5" t="s">
        <v>11</v>
      </c>
      <c r="L3" s="5" t="s">
        <v>12</v>
      </c>
      <c r="M3" s="5" t="s">
        <v>13</v>
      </c>
      <c r="N3" s="5" t="s">
        <v>14</v>
      </c>
      <c r="O3" s="5" t="s">
        <v>15</v>
      </c>
      <c r="R3" t="s">
        <v>32</v>
      </c>
      <c r="S3" t="s">
        <v>29</v>
      </c>
    </row>
    <row r="4" spans="1:19" x14ac:dyDescent="0.25">
      <c r="A4" s="6">
        <v>3964336566</v>
      </c>
      <c r="B4" s="6" t="s">
        <v>72</v>
      </c>
      <c r="C4" s="60">
        <v>7768559729081</v>
      </c>
      <c r="D4" s="6" t="s">
        <v>66</v>
      </c>
      <c r="E4" s="60">
        <v>6</v>
      </c>
      <c r="F4" s="8">
        <v>43143</v>
      </c>
      <c r="G4" s="8">
        <v>43132</v>
      </c>
      <c r="H4" s="8">
        <v>43132</v>
      </c>
      <c r="I4" s="60">
        <v>8888572294</v>
      </c>
      <c r="J4" s="60">
        <v>888850613152</v>
      </c>
      <c r="K4" s="9">
        <v>43143</v>
      </c>
      <c r="L4" s="9" t="s">
        <v>73</v>
      </c>
      <c r="M4" s="6">
        <v>-11</v>
      </c>
      <c r="N4" s="6">
        <v>40</v>
      </c>
      <c r="O4" s="6">
        <v>0</v>
      </c>
    </row>
    <row r="5" spans="1:19" x14ac:dyDescent="0.25">
      <c r="A5" s="6">
        <v>8359219563</v>
      </c>
      <c r="B5" s="6" t="s">
        <v>75</v>
      </c>
      <c r="C5" s="60">
        <v>8106142105478</v>
      </c>
      <c r="D5" s="6" t="s">
        <v>66</v>
      </c>
      <c r="E5" s="60">
        <v>6</v>
      </c>
      <c r="F5" s="8">
        <v>43294</v>
      </c>
      <c r="G5" s="8">
        <v>43275.999305555553</v>
      </c>
      <c r="H5" s="8">
        <v>43275.999305555553</v>
      </c>
      <c r="I5" s="60">
        <v>761155034</v>
      </c>
      <c r="J5" s="60">
        <v>76110400198</v>
      </c>
      <c r="K5" s="9">
        <v>43294</v>
      </c>
      <c r="L5" s="9" t="s">
        <v>73</v>
      </c>
      <c r="M5" s="6">
        <v>-18</v>
      </c>
      <c r="N5" s="6">
        <v>40</v>
      </c>
      <c r="O5" s="6">
        <v>0</v>
      </c>
    </row>
    <row r="6" spans="1:19" x14ac:dyDescent="0.25">
      <c r="A6" s="6">
        <v>8359219563</v>
      </c>
      <c r="B6" s="6" t="s">
        <v>75</v>
      </c>
      <c r="C6" s="60">
        <v>8106142105478</v>
      </c>
      <c r="D6" s="6" t="s">
        <v>66</v>
      </c>
      <c r="E6" s="60">
        <v>6</v>
      </c>
      <c r="F6" s="8">
        <v>43294</v>
      </c>
      <c r="G6" s="8">
        <v>43275.999305555553</v>
      </c>
      <c r="H6" s="8">
        <v>43275.999305555553</v>
      </c>
      <c r="I6" s="60">
        <v>761155034</v>
      </c>
      <c r="J6" s="60">
        <v>76110400198</v>
      </c>
      <c r="K6" s="9">
        <v>43294</v>
      </c>
      <c r="L6" s="9" t="s">
        <v>73</v>
      </c>
      <c r="M6" s="6">
        <v>-18</v>
      </c>
      <c r="N6" s="6">
        <v>40</v>
      </c>
      <c r="O6" s="6">
        <v>0</v>
      </c>
    </row>
    <row r="7" spans="1:19" x14ac:dyDescent="0.25">
      <c r="A7" s="6">
        <v>1533373142</v>
      </c>
      <c r="B7" s="6" t="s">
        <v>76</v>
      </c>
      <c r="C7" s="60">
        <v>7176205589384</v>
      </c>
      <c r="D7" s="6" t="s">
        <v>66</v>
      </c>
      <c r="E7" s="60">
        <v>6</v>
      </c>
      <c r="F7" s="8">
        <v>43294</v>
      </c>
      <c r="G7" s="8">
        <v>43275.999305555553</v>
      </c>
      <c r="H7" s="8">
        <v>43275.999305555553</v>
      </c>
      <c r="I7" s="60">
        <v>6613575865</v>
      </c>
      <c r="J7" s="60">
        <v>661351946353</v>
      </c>
      <c r="K7" s="9">
        <v>43294</v>
      </c>
      <c r="L7" s="9" t="s">
        <v>73</v>
      </c>
      <c r="M7" s="6">
        <v>-18</v>
      </c>
      <c r="N7" s="6">
        <v>40</v>
      </c>
      <c r="O7" s="6">
        <v>0</v>
      </c>
    </row>
    <row r="8" spans="1:19" x14ac:dyDescent="0.25">
      <c r="A8" s="6">
        <v>1533373142</v>
      </c>
      <c r="B8" s="6" t="s">
        <v>76</v>
      </c>
      <c r="C8" s="60">
        <v>7176205589384</v>
      </c>
      <c r="D8" s="6" t="s">
        <v>66</v>
      </c>
      <c r="E8" s="60">
        <v>6</v>
      </c>
      <c r="F8" s="8">
        <v>43294</v>
      </c>
      <c r="G8" s="8">
        <v>43275.999305555553</v>
      </c>
      <c r="H8" s="8">
        <v>43275.999305555553</v>
      </c>
      <c r="I8" s="60">
        <v>6613575865</v>
      </c>
      <c r="J8" s="60">
        <v>661351946353</v>
      </c>
      <c r="K8" s="9">
        <v>43294</v>
      </c>
      <c r="L8" s="9" t="s">
        <v>73</v>
      </c>
      <c r="M8" s="6">
        <v>-18</v>
      </c>
      <c r="N8" s="6">
        <v>40</v>
      </c>
      <c r="O8" s="6">
        <v>0</v>
      </c>
    </row>
    <row r="9" spans="1:19" x14ac:dyDescent="0.25">
      <c r="A9" s="6">
        <v>2297017168</v>
      </c>
      <c r="B9" s="6" t="s">
        <v>77</v>
      </c>
      <c r="C9" s="60">
        <v>8107629956955</v>
      </c>
      <c r="D9" s="6" t="s">
        <v>74</v>
      </c>
      <c r="E9" s="60">
        <v>6</v>
      </c>
      <c r="F9" s="8">
        <v>43300</v>
      </c>
      <c r="G9" s="8">
        <v>43281.999305555553</v>
      </c>
      <c r="H9" s="8">
        <v>43281.999305555553</v>
      </c>
      <c r="I9" s="60">
        <v>1648924204</v>
      </c>
      <c r="J9" s="60">
        <v>164890405230</v>
      </c>
      <c r="K9" s="9">
        <v>43300</v>
      </c>
      <c r="L9" s="9" t="s">
        <v>73</v>
      </c>
      <c r="M9" s="6">
        <v>-18</v>
      </c>
      <c r="N9" s="6">
        <v>40</v>
      </c>
      <c r="O9" s="6">
        <v>0</v>
      </c>
    </row>
    <row r="10" spans="1:19" x14ac:dyDescent="0.25">
      <c r="A10" s="6">
        <v>2297017168</v>
      </c>
      <c r="B10" s="6" t="s">
        <v>77</v>
      </c>
      <c r="C10" s="60">
        <v>8107629956955</v>
      </c>
      <c r="D10" s="6" t="s">
        <v>74</v>
      </c>
      <c r="E10" s="60">
        <v>6</v>
      </c>
      <c r="F10" s="8">
        <v>43300</v>
      </c>
      <c r="G10" s="8">
        <v>43281.999305555553</v>
      </c>
      <c r="H10" s="8">
        <v>43281.999305555553</v>
      </c>
      <c r="I10" s="60">
        <v>1648924204</v>
      </c>
      <c r="J10" s="60">
        <v>164890405230</v>
      </c>
      <c r="K10" s="9">
        <v>43300</v>
      </c>
      <c r="L10" s="9" t="s">
        <v>73</v>
      </c>
      <c r="M10" s="6">
        <v>-18</v>
      </c>
      <c r="N10" s="6">
        <v>40</v>
      </c>
      <c r="O10" s="6">
        <v>0</v>
      </c>
    </row>
    <row r="11" spans="1:19" x14ac:dyDescent="0.25">
      <c r="A11" s="6">
        <v>7159583017</v>
      </c>
      <c r="B11" s="6" t="s">
        <v>78</v>
      </c>
      <c r="C11" s="60">
        <v>4275883640001</v>
      </c>
      <c r="D11" s="6" t="s">
        <v>66</v>
      </c>
      <c r="E11" s="60">
        <v>6</v>
      </c>
      <c r="F11" s="8">
        <v>43294</v>
      </c>
      <c r="G11" s="8">
        <v>43276.999305555553</v>
      </c>
      <c r="H11" s="8">
        <v>43276.999305555553</v>
      </c>
      <c r="I11" s="60">
        <v>1708397252</v>
      </c>
      <c r="J11" s="60">
        <v>170832190185</v>
      </c>
      <c r="K11" s="9">
        <v>43294</v>
      </c>
      <c r="L11" s="9" t="s">
        <v>73</v>
      </c>
      <c r="M11" s="6">
        <v>-17</v>
      </c>
      <c r="N11" s="6">
        <v>40</v>
      </c>
      <c r="O11" s="6">
        <v>0</v>
      </c>
    </row>
    <row r="12" spans="1:19" x14ac:dyDescent="0.25">
      <c r="A12" s="6">
        <v>7159583017</v>
      </c>
      <c r="B12" s="6" t="s">
        <v>78</v>
      </c>
      <c r="C12" s="60">
        <v>4275883640001</v>
      </c>
      <c r="D12" s="6" t="s">
        <v>66</v>
      </c>
      <c r="E12" s="60">
        <v>6</v>
      </c>
      <c r="F12" s="8">
        <v>43294</v>
      </c>
      <c r="G12" s="8">
        <v>43276.999305555553</v>
      </c>
      <c r="H12" s="8">
        <v>43276.999305555553</v>
      </c>
      <c r="I12" s="60">
        <v>1708397252</v>
      </c>
      <c r="J12" s="60">
        <v>170832190185</v>
      </c>
      <c r="K12" s="9">
        <v>43294</v>
      </c>
      <c r="L12" s="9" t="s">
        <v>73</v>
      </c>
      <c r="M12" s="6">
        <v>-17</v>
      </c>
      <c r="N12" s="6">
        <v>40</v>
      </c>
      <c r="O12" s="6">
        <v>0</v>
      </c>
    </row>
    <row r="13" spans="1:19" x14ac:dyDescent="0.25">
      <c r="A13" s="6">
        <v>3066293745</v>
      </c>
      <c r="B13" s="6" t="s">
        <v>97</v>
      </c>
      <c r="C13" s="60">
        <v>7734271367839</v>
      </c>
      <c r="D13" s="6" t="s">
        <v>66</v>
      </c>
      <c r="E13" s="60">
        <v>6</v>
      </c>
      <c r="F13" s="8">
        <v>43311</v>
      </c>
      <c r="G13" s="8">
        <v>42952</v>
      </c>
      <c r="H13" s="8">
        <v>42952</v>
      </c>
      <c r="I13" s="60">
        <v>1260913697</v>
      </c>
      <c r="J13" s="60">
        <v>126092613848</v>
      </c>
      <c r="K13" s="9">
        <v>43311</v>
      </c>
      <c r="L13" s="9" t="s">
        <v>73</v>
      </c>
      <c r="M13" s="6">
        <v>-359</v>
      </c>
      <c r="N13" s="6">
        <v>10</v>
      </c>
      <c r="O13" s="6">
        <v>0</v>
      </c>
    </row>
    <row r="14" spans="1:19" x14ac:dyDescent="0.25">
      <c r="A14" s="6"/>
      <c r="B14" s="6"/>
      <c r="C14" s="60"/>
      <c r="D14" s="6"/>
      <c r="E14" s="60"/>
      <c r="F14" s="8"/>
      <c r="G14" s="8"/>
      <c r="H14" s="8"/>
      <c r="I14" s="60"/>
      <c r="J14" s="60"/>
      <c r="K14" s="9"/>
      <c r="L14" s="6"/>
      <c r="M14" s="6"/>
      <c r="N14" s="6"/>
      <c r="O14" s="6"/>
    </row>
    <row r="15" spans="1:19" x14ac:dyDescent="0.25">
      <c r="C15" s="61"/>
      <c r="E15" s="61"/>
      <c r="I15" s="61"/>
      <c r="J15" s="61"/>
      <c r="M15" s="6"/>
      <c r="N15" s="6"/>
      <c r="O15" s="6"/>
    </row>
    <row r="16" spans="1:19" x14ac:dyDescent="0.25">
      <c r="A16" s="51" t="s">
        <v>43</v>
      </c>
      <c r="B16" s="52" t="s">
        <v>47</v>
      </c>
      <c r="C16" s="61"/>
      <c r="E16" s="61"/>
      <c r="I16" s="61"/>
      <c r="J16" s="61"/>
      <c r="M16" s="6"/>
      <c r="N16" s="6"/>
      <c r="O16" s="6"/>
    </row>
    <row r="17" spans="1:15" x14ac:dyDescent="0.25">
      <c r="A17" s="48">
        <v>1334787466</v>
      </c>
      <c r="B17" s="50"/>
      <c r="C17" s="61"/>
      <c r="E17" s="61"/>
      <c r="I17" s="61"/>
      <c r="J17" s="61"/>
      <c r="M17" s="6"/>
      <c r="N17" s="6"/>
      <c r="O17" s="6"/>
    </row>
    <row r="18" spans="1:15" x14ac:dyDescent="0.25">
      <c r="A18" s="48">
        <v>5924864551</v>
      </c>
      <c r="B18" s="50"/>
      <c r="C18" s="61"/>
      <c r="E18" s="61"/>
      <c r="I18" s="61"/>
      <c r="J18" s="61"/>
      <c r="M18" s="6"/>
      <c r="N18" s="6"/>
      <c r="O18" s="6"/>
    </row>
    <row r="19" spans="1:15" x14ac:dyDescent="0.25">
      <c r="A19" s="48">
        <v>3852284232</v>
      </c>
      <c r="B19" s="50"/>
      <c r="C19" s="61"/>
      <c r="E19" s="61"/>
      <c r="I19" s="61"/>
      <c r="J19" s="61"/>
      <c r="M19" s="6"/>
      <c r="N19" s="6"/>
      <c r="O19" s="6"/>
    </row>
    <row r="20" spans="1:15" x14ac:dyDescent="0.25">
      <c r="A20" s="48">
        <v>544325805</v>
      </c>
      <c r="B20" s="50"/>
      <c r="C20" s="61"/>
      <c r="E20" s="61"/>
      <c r="I20" s="61"/>
      <c r="J20" s="61"/>
      <c r="M20" s="6"/>
      <c r="N20" s="6"/>
      <c r="O20" s="6"/>
    </row>
    <row r="21" spans="1:15" x14ac:dyDescent="0.25">
      <c r="A21" s="48">
        <v>2746052397</v>
      </c>
      <c r="B21" s="50"/>
      <c r="C21" s="61"/>
      <c r="E21" s="61"/>
      <c r="I21" s="61"/>
      <c r="J21" s="61"/>
      <c r="M21" s="6"/>
      <c r="N21" s="6"/>
      <c r="O21" s="6"/>
    </row>
    <row r="22" spans="1:15" x14ac:dyDescent="0.25">
      <c r="A22" s="48">
        <v>7484059843</v>
      </c>
      <c r="B22" s="50"/>
      <c r="C22" s="61"/>
      <c r="E22" s="61"/>
      <c r="I22" s="61"/>
      <c r="J22" s="61"/>
      <c r="M22" s="6"/>
      <c r="N22" s="6"/>
      <c r="O22" s="6"/>
    </row>
    <row r="23" spans="1:15" x14ac:dyDescent="0.25">
      <c r="A23" s="48">
        <v>7418184249</v>
      </c>
      <c r="B23" s="50"/>
      <c r="C23" s="61"/>
      <c r="E23" s="61"/>
      <c r="I23" s="61"/>
      <c r="J23" s="61"/>
      <c r="M23" s="6"/>
      <c r="N23" s="6"/>
      <c r="O23" s="6"/>
    </row>
    <row r="24" spans="1:15" x14ac:dyDescent="0.25">
      <c r="A24" s="49">
        <v>7418184249</v>
      </c>
      <c r="B24" s="53"/>
      <c r="C24" s="61"/>
      <c r="E24" s="61"/>
      <c r="I24" s="61"/>
      <c r="J24" s="61"/>
      <c r="M24" s="6"/>
      <c r="N24" s="6"/>
      <c r="O24" s="6"/>
    </row>
    <row r="25" spans="1:15" x14ac:dyDescent="0.25">
      <c r="A25" s="14">
        <v>4063207268</v>
      </c>
      <c r="C25" s="61"/>
      <c r="E25" s="61"/>
      <c r="I25" s="61"/>
      <c r="J25" s="61"/>
      <c r="M25" s="6"/>
      <c r="N25" s="6"/>
      <c r="O25" s="6"/>
    </row>
    <row r="26" spans="1:15" x14ac:dyDescent="0.25">
      <c r="C26" s="61"/>
      <c r="E26" s="61"/>
      <c r="I26" s="61"/>
      <c r="J26" s="61"/>
      <c r="M26" s="6"/>
      <c r="N26" s="6"/>
      <c r="O26" s="6"/>
    </row>
    <row r="27" spans="1:15" x14ac:dyDescent="0.25">
      <c r="C27" s="61"/>
      <c r="E27" s="61"/>
      <c r="I27" s="61"/>
      <c r="J27" s="61"/>
      <c r="M27" s="6"/>
      <c r="N27" s="6"/>
      <c r="O27" s="6"/>
    </row>
    <row r="28" spans="1:15" x14ac:dyDescent="0.25">
      <c r="C28" s="61"/>
      <c r="E28" s="61"/>
      <c r="I28" s="61"/>
      <c r="J28" s="61"/>
      <c r="M28" s="6"/>
      <c r="N28" s="6"/>
      <c r="O28" s="6"/>
    </row>
    <row r="29" spans="1:15" x14ac:dyDescent="0.25">
      <c r="C29" s="61"/>
      <c r="E29" s="61"/>
      <c r="I29" s="61"/>
      <c r="J29" s="61"/>
      <c r="M29" s="6"/>
      <c r="N29" s="6"/>
      <c r="O29" s="6"/>
    </row>
    <row r="30" spans="1:15" x14ac:dyDescent="0.25">
      <c r="C30" s="61"/>
      <c r="E30" s="61"/>
      <c r="I30" s="61"/>
      <c r="J30" s="61"/>
      <c r="M30" s="6"/>
      <c r="N30" s="6"/>
      <c r="O30" s="6"/>
    </row>
    <row r="31" spans="1:15" x14ac:dyDescent="0.25">
      <c r="C31" s="61"/>
      <c r="E31" s="61"/>
      <c r="I31" s="61"/>
      <c r="J31" s="61"/>
      <c r="M31" s="6"/>
      <c r="N31" s="6"/>
      <c r="O31" s="6"/>
    </row>
    <row r="32" spans="1:15" x14ac:dyDescent="0.25">
      <c r="A32" s="6"/>
      <c r="B32" s="6"/>
      <c r="C32" s="60"/>
      <c r="D32" s="6"/>
      <c r="E32" s="60"/>
      <c r="F32" s="8"/>
      <c r="G32" s="8"/>
      <c r="H32" s="8"/>
      <c r="I32" s="60"/>
      <c r="J32" s="60"/>
      <c r="K32" s="9"/>
      <c r="L32" s="9"/>
      <c r="M32" s="6"/>
      <c r="N32" s="6"/>
      <c r="O32" s="6"/>
    </row>
    <row r="33" spans="1:15" x14ac:dyDescent="0.25">
      <c r="A33" s="6"/>
      <c r="B33" s="6"/>
      <c r="C33" s="60"/>
      <c r="D33" s="6"/>
      <c r="E33" s="60"/>
      <c r="F33" s="8"/>
      <c r="G33" s="8"/>
      <c r="H33" s="8"/>
      <c r="I33" s="60"/>
      <c r="J33" s="60"/>
      <c r="K33" s="9"/>
      <c r="L33" s="9"/>
      <c r="M33" s="6"/>
      <c r="N33" s="6"/>
      <c r="O33" s="6"/>
    </row>
    <row r="34" spans="1:15" x14ac:dyDescent="0.25">
      <c r="C34" s="60"/>
      <c r="D34" s="6"/>
      <c r="E34" s="60"/>
      <c r="F34" s="8"/>
      <c r="G34" s="8"/>
      <c r="H34" s="8"/>
      <c r="I34" s="60"/>
      <c r="J34" s="60"/>
      <c r="K34" s="9"/>
      <c r="L34" s="9"/>
      <c r="M34" s="6"/>
      <c r="N34" s="6"/>
      <c r="O34" s="6"/>
    </row>
    <row r="35" spans="1:15" x14ac:dyDescent="0.25">
      <c r="C35" s="60"/>
      <c r="D35" s="6"/>
      <c r="E35" s="60"/>
      <c r="F35" s="8"/>
      <c r="G35" s="8"/>
      <c r="H35" s="8"/>
      <c r="I35" s="60"/>
      <c r="J35" s="60"/>
      <c r="K35" s="9"/>
      <c r="L35" s="9"/>
      <c r="M35" s="6"/>
      <c r="N35" s="6"/>
      <c r="O35" s="6"/>
    </row>
    <row r="36" spans="1:15" x14ac:dyDescent="0.25">
      <c r="C36" s="60"/>
      <c r="D36" s="6"/>
      <c r="E36" s="60"/>
      <c r="F36" s="8"/>
      <c r="G36" s="8"/>
      <c r="H36" s="8"/>
      <c r="I36" s="60"/>
      <c r="J36" s="60"/>
      <c r="K36" s="9"/>
      <c r="L36" s="9"/>
      <c r="M36" s="6"/>
      <c r="N36" s="6"/>
      <c r="O36" s="6"/>
    </row>
    <row r="37" spans="1:15" x14ac:dyDescent="0.25">
      <c r="C37" s="60"/>
      <c r="D37" s="6"/>
      <c r="E37" s="60"/>
      <c r="F37" s="8"/>
      <c r="G37" s="8"/>
      <c r="H37" s="8"/>
      <c r="I37" s="60"/>
      <c r="J37" s="60"/>
      <c r="K37" s="9"/>
      <c r="L37" s="9"/>
      <c r="M37" s="6"/>
      <c r="N37" s="6"/>
      <c r="O37" s="6"/>
    </row>
    <row r="38" spans="1:15" x14ac:dyDescent="0.25">
      <c r="C38" s="60"/>
      <c r="D38" s="6"/>
      <c r="E38" s="60"/>
      <c r="F38" s="8"/>
      <c r="G38" s="8"/>
      <c r="H38" s="8"/>
      <c r="I38" s="60"/>
      <c r="J38" s="60"/>
      <c r="K38" s="9"/>
      <c r="L38" s="9"/>
      <c r="M38" s="6"/>
      <c r="N38" s="6"/>
      <c r="O38" s="6"/>
    </row>
    <row r="39" spans="1:15" x14ac:dyDescent="0.25">
      <c r="C39" s="60"/>
      <c r="D39" s="6"/>
      <c r="E39" s="60"/>
      <c r="F39" s="8"/>
      <c r="G39" s="8"/>
      <c r="H39" s="8"/>
      <c r="I39" s="60"/>
      <c r="J39" s="60"/>
      <c r="K39" s="9"/>
      <c r="L39" s="9"/>
      <c r="M39" s="6"/>
      <c r="N39" s="6"/>
      <c r="O39" s="6"/>
    </row>
    <row r="40" spans="1:15" x14ac:dyDescent="0.25">
      <c r="C40" s="60"/>
      <c r="D40" s="6"/>
      <c r="E40" s="60"/>
      <c r="F40" s="8"/>
      <c r="G40" s="8"/>
      <c r="H40" s="8"/>
      <c r="I40" s="60"/>
      <c r="J40" s="60"/>
      <c r="K40" s="9"/>
      <c r="L40" s="9"/>
      <c r="M40" s="6"/>
      <c r="N40" s="6"/>
      <c r="O40" s="6"/>
    </row>
    <row r="41" spans="1:15" x14ac:dyDescent="0.25">
      <c r="C41" s="60"/>
      <c r="D41" s="6"/>
      <c r="E41" s="60"/>
      <c r="F41" s="8"/>
      <c r="G41" s="8"/>
      <c r="H41" s="8"/>
      <c r="I41" s="60"/>
      <c r="J41" s="60"/>
      <c r="K41" s="9"/>
      <c r="L41" s="9"/>
      <c r="M41" s="6"/>
      <c r="N41" s="6"/>
      <c r="O41" s="6"/>
    </row>
    <row r="42" spans="1:15" x14ac:dyDescent="0.25">
      <c r="C42" s="60"/>
      <c r="D42" s="6"/>
      <c r="E42" s="60"/>
      <c r="F42" s="8"/>
      <c r="G42" s="8"/>
      <c r="H42" s="8"/>
      <c r="I42" s="60"/>
      <c r="J42" s="60"/>
      <c r="K42" s="9"/>
      <c r="L42" s="9"/>
      <c r="M42" s="6"/>
      <c r="N42" s="6"/>
      <c r="O42" s="6"/>
    </row>
    <row r="43" spans="1:15" x14ac:dyDescent="0.25">
      <c r="C43" s="60"/>
      <c r="D43" s="6"/>
      <c r="E43" s="60"/>
      <c r="F43" s="8"/>
      <c r="G43" s="8"/>
      <c r="H43" s="8"/>
      <c r="I43" s="60"/>
      <c r="J43" s="60"/>
      <c r="K43" s="9"/>
      <c r="L43" s="9"/>
      <c r="M43" s="6"/>
      <c r="N43" s="6"/>
      <c r="O43" s="6"/>
    </row>
    <row r="44" spans="1:15" x14ac:dyDescent="0.25">
      <c r="A44" s="6"/>
      <c r="B44" s="6"/>
      <c r="C44" s="60"/>
      <c r="D44" s="6"/>
      <c r="E44" s="60"/>
      <c r="F44" s="8"/>
      <c r="G44" s="8"/>
      <c r="H44" s="8"/>
      <c r="I44" s="60"/>
      <c r="J44" s="60"/>
      <c r="K44" s="9"/>
      <c r="L44" s="9"/>
      <c r="M44" s="6"/>
      <c r="N44" s="6"/>
      <c r="O44" s="6"/>
    </row>
    <row r="45" spans="1:15" x14ac:dyDescent="0.25">
      <c r="A45" s="6"/>
      <c r="B45" s="6"/>
      <c r="C45" s="60"/>
      <c r="D45" s="6"/>
      <c r="E45" s="60"/>
      <c r="F45" s="8"/>
      <c r="G45" s="8"/>
      <c r="H45" s="8"/>
      <c r="I45" s="60"/>
      <c r="J45" s="60"/>
      <c r="K45" s="9"/>
      <c r="L45" s="9"/>
      <c r="M45" s="6"/>
      <c r="N45" s="6"/>
      <c r="O45" s="6"/>
    </row>
    <row r="46" spans="1:15" x14ac:dyDescent="0.25">
      <c r="A46" s="6"/>
      <c r="B46" s="6"/>
      <c r="C46" s="60"/>
      <c r="D46" s="6"/>
      <c r="E46" s="60"/>
      <c r="F46" s="8"/>
      <c r="G46" s="8"/>
      <c r="H46" s="8"/>
      <c r="I46" s="60"/>
      <c r="J46" s="60"/>
      <c r="K46" s="9"/>
      <c r="L46" s="9"/>
      <c r="M46" s="6"/>
      <c r="N46" s="6"/>
      <c r="O46" s="6"/>
    </row>
    <row r="47" spans="1:15" x14ac:dyDescent="0.25">
      <c r="A47" s="6"/>
      <c r="B47" s="6"/>
      <c r="C47" s="60"/>
      <c r="D47" s="6"/>
      <c r="E47" s="60"/>
      <c r="F47" s="8"/>
      <c r="G47" s="8"/>
      <c r="H47" s="8"/>
      <c r="I47" s="60"/>
      <c r="J47" s="60"/>
      <c r="K47" s="9"/>
      <c r="L47" s="9"/>
      <c r="M47" s="6"/>
      <c r="N47" s="6"/>
      <c r="O47" s="6"/>
    </row>
    <row r="48" spans="1:15" x14ac:dyDescent="0.25">
      <c r="A48" s="6"/>
      <c r="B48" s="6"/>
      <c r="C48" s="60"/>
      <c r="D48" s="6"/>
      <c r="E48" s="60"/>
      <c r="F48" s="8"/>
      <c r="G48" s="8"/>
      <c r="H48" s="8"/>
      <c r="I48" s="60"/>
      <c r="J48" s="60"/>
      <c r="K48" s="9"/>
      <c r="L48" s="9"/>
      <c r="M48" s="6"/>
      <c r="N48" s="6"/>
      <c r="O48" s="6"/>
    </row>
    <row r="49" spans="1:15" x14ac:dyDescent="0.25">
      <c r="A49" s="6"/>
      <c r="B49" s="6"/>
      <c r="C49" s="60"/>
      <c r="D49" s="6"/>
      <c r="E49" s="60"/>
      <c r="F49" s="8"/>
      <c r="G49" s="8"/>
      <c r="H49" s="8"/>
      <c r="I49" s="60"/>
      <c r="J49" s="60"/>
      <c r="K49" s="9"/>
      <c r="L49" s="9"/>
      <c r="M49" s="6"/>
      <c r="N49" s="6"/>
      <c r="O49" s="6"/>
    </row>
    <row r="50" spans="1:15" x14ac:dyDescent="0.25">
      <c r="A50" s="6"/>
      <c r="B50" s="6"/>
      <c r="C50" s="60"/>
      <c r="D50" s="6"/>
      <c r="E50" s="60"/>
      <c r="F50" s="8"/>
      <c r="G50" s="8"/>
      <c r="H50" s="8"/>
      <c r="I50" s="60"/>
      <c r="J50" s="60"/>
      <c r="K50" s="9"/>
      <c r="L50" s="9"/>
      <c r="M50" s="6"/>
      <c r="N50" s="6"/>
      <c r="O50" s="6"/>
    </row>
    <row r="51" spans="1:15" x14ac:dyDescent="0.25">
      <c r="A51" s="6"/>
      <c r="B51" s="6"/>
      <c r="C51" s="60"/>
      <c r="D51" s="6"/>
      <c r="E51" s="60"/>
      <c r="F51" s="8"/>
      <c r="G51" s="8"/>
      <c r="H51" s="8"/>
      <c r="I51" s="60"/>
      <c r="J51" s="60"/>
      <c r="K51" s="9"/>
      <c r="L51" s="9"/>
      <c r="M51" s="6"/>
      <c r="N51" s="6"/>
      <c r="O51" s="6"/>
    </row>
    <row r="52" spans="1:15" x14ac:dyDescent="0.25">
      <c r="A52" s="6"/>
      <c r="B52" s="6"/>
      <c r="C52" s="60"/>
      <c r="D52" s="6"/>
      <c r="E52" s="60"/>
      <c r="F52" s="8"/>
      <c r="G52" s="8"/>
      <c r="H52" s="8"/>
      <c r="I52" s="60"/>
      <c r="J52" s="60"/>
      <c r="K52" s="9"/>
      <c r="L52" s="9"/>
      <c r="M52" s="6"/>
      <c r="N52" s="6"/>
      <c r="O52" s="6"/>
    </row>
    <row r="53" spans="1:15" x14ac:dyDescent="0.25">
      <c r="A53" s="6"/>
      <c r="B53" s="6"/>
      <c r="C53" s="60"/>
      <c r="D53" s="6"/>
      <c r="E53" s="60"/>
      <c r="F53" s="8"/>
      <c r="G53" s="8"/>
      <c r="H53" s="8"/>
      <c r="I53" s="60"/>
      <c r="J53" s="60"/>
      <c r="K53" s="9"/>
      <c r="L53" s="9"/>
      <c r="M53" s="6"/>
      <c r="N53" s="6"/>
      <c r="O53" s="6"/>
    </row>
    <row r="54" spans="1:15" x14ac:dyDescent="0.25">
      <c r="A54" s="6"/>
      <c r="B54" s="6"/>
      <c r="C54" s="60"/>
      <c r="D54" s="6"/>
      <c r="E54" s="60"/>
      <c r="F54" s="8"/>
      <c r="G54" s="8"/>
      <c r="H54" s="8"/>
      <c r="I54" s="60"/>
      <c r="J54" s="60"/>
      <c r="K54" s="9"/>
      <c r="L54" s="9"/>
      <c r="M54" s="6"/>
      <c r="N54" s="6"/>
      <c r="O54" s="6"/>
    </row>
    <row r="55" spans="1:15" x14ac:dyDescent="0.25">
      <c r="A55" s="6"/>
      <c r="B55" s="6"/>
      <c r="C55" s="60"/>
      <c r="D55" s="6"/>
      <c r="E55" s="60"/>
      <c r="F55" s="8"/>
      <c r="G55" s="8"/>
      <c r="H55" s="8"/>
      <c r="I55" s="60"/>
      <c r="J55" s="60"/>
      <c r="K55" s="9"/>
      <c r="L55" s="9"/>
      <c r="M55" s="6"/>
      <c r="N55" s="6"/>
      <c r="O55" s="6"/>
    </row>
    <row r="56" spans="1:15" x14ac:dyDescent="0.25">
      <c r="A56" s="6"/>
      <c r="B56" s="6"/>
      <c r="C56" s="60"/>
      <c r="D56" s="6"/>
      <c r="E56" s="60"/>
      <c r="F56" s="8"/>
      <c r="G56" s="8"/>
      <c r="H56" s="8"/>
      <c r="I56" s="60"/>
      <c r="J56" s="60"/>
      <c r="K56" s="9"/>
      <c r="L56" s="9"/>
      <c r="M56" s="6"/>
      <c r="N56" s="6"/>
      <c r="O56" s="6"/>
    </row>
    <row r="57" spans="1:15" x14ac:dyDescent="0.25">
      <c r="A57" s="6"/>
      <c r="B57" s="6"/>
      <c r="C57" s="60"/>
      <c r="D57" s="6"/>
      <c r="E57" s="60"/>
      <c r="F57" s="8"/>
      <c r="G57" s="8"/>
      <c r="H57" s="8"/>
      <c r="I57" s="60"/>
      <c r="J57" s="60"/>
      <c r="K57" s="9"/>
      <c r="L57" s="9"/>
      <c r="M57" s="6"/>
      <c r="N57" s="6"/>
      <c r="O57" s="6"/>
    </row>
    <row r="58" spans="1:15" x14ac:dyDescent="0.25">
      <c r="A58" s="6"/>
      <c r="B58" s="6"/>
      <c r="C58" s="60"/>
      <c r="D58" s="6"/>
      <c r="E58" s="60"/>
      <c r="F58" s="8"/>
      <c r="G58" s="8"/>
      <c r="H58" s="8"/>
      <c r="I58" s="60"/>
      <c r="J58" s="60"/>
      <c r="K58" s="9"/>
      <c r="L58" s="9"/>
      <c r="M58" s="6"/>
      <c r="N58" s="6"/>
      <c r="O58" s="6"/>
    </row>
    <row r="59" spans="1:15" x14ac:dyDescent="0.25">
      <c r="A59" s="6"/>
      <c r="B59" s="6"/>
      <c r="C59" s="60"/>
      <c r="D59" s="6"/>
      <c r="E59" s="60"/>
      <c r="F59" s="8"/>
      <c r="G59" s="8"/>
      <c r="H59" s="8"/>
      <c r="I59" s="60"/>
      <c r="J59" s="60"/>
      <c r="K59" s="9"/>
      <c r="L59" s="9"/>
      <c r="M59" s="6"/>
      <c r="N59" s="6"/>
      <c r="O59" s="6"/>
    </row>
    <row r="60" spans="1:15" x14ac:dyDescent="0.25">
      <c r="A60" s="6"/>
      <c r="B60" s="6"/>
      <c r="C60" s="60"/>
      <c r="D60" s="6"/>
      <c r="E60" s="60"/>
      <c r="F60" s="8"/>
      <c r="G60" s="8"/>
      <c r="H60" s="8"/>
      <c r="I60" s="60"/>
      <c r="J60" s="60"/>
      <c r="K60" s="9"/>
      <c r="L60" s="9"/>
      <c r="M60" s="6"/>
      <c r="N60" s="6"/>
      <c r="O60" s="6"/>
    </row>
    <row r="61" spans="1:15" x14ac:dyDescent="0.25">
      <c r="A61" s="6"/>
      <c r="B61" s="6"/>
      <c r="C61" s="60"/>
      <c r="D61" s="6"/>
      <c r="E61" s="60"/>
      <c r="F61" s="8"/>
      <c r="G61" s="8"/>
      <c r="H61" s="8"/>
      <c r="I61" s="60"/>
      <c r="J61" s="60"/>
      <c r="K61" s="9"/>
      <c r="L61" s="9"/>
      <c r="M61" s="6"/>
      <c r="N61" s="6"/>
      <c r="O61" s="6"/>
    </row>
    <row r="62" spans="1:15" x14ac:dyDescent="0.25">
      <c r="A62" s="6"/>
      <c r="B62" s="6"/>
      <c r="C62" s="60"/>
      <c r="D62" s="6"/>
      <c r="E62" s="60"/>
      <c r="F62" s="8"/>
      <c r="G62" s="8"/>
      <c r="H62" s="8"/>
      <c r="I62" s="60"/>
      <c r="J62" s="60"/>
      <c r="K62" s="9"/>
      <c r="L62" s="9"/>
      <c r="M62" s="6"/>
      <c r="N62" s="6"/>
      <c r="O62" s="6"/>
    </row>
    <row r="63" spans="1:15" x14ac:dyDescent="0.25">
      <c r="A63" s="6"/>
      <c r="B63" s="6"/>
      <c r="C63" s="60"/>
      <c r="D63" s="6"/>
      <c r="E63" s="60"/>
      <c r="F63" s="8"/>
      <c r="G63" s="8"/>
      <c r="H63" s="8"/>
      <c r="I63" s="60"/>
      <c r="J63" s="60"/>
      <c r="K63" s="9"/>
      <c r="L63" s="9"/>
      <c r="M63" s="6"/>
      <c r="N63" s="6"/>
      <c r="O63" s="6"/>
    </row>
    <row r="64" spans="1:15" x14ac:dyDescent="0.25">
      <c r="A64" s="6"/>
      <c r="B64" s="6"/>
      <c r="C64" s="60"/>
      <c r="D64" s="6"/>
      <c r="E64" s="60"/>
      <c r="F64" s="8"/>
      <c r="G64" s="8"/>
      <c r="H64" s="8"/>
      <c r="I64" s="60"/>
      <c r="J64" s="60"/>
      <c r="K64" s="9"/>
      <c r="L64" s="9"/>
      <c r="M64" s="6"/>
      <c r="N64" s="6"/>
      <c r="O64" s="6"/>
    </row>
    <row r="65" spans="1:15" x14ac:dyDescent="0.25">
      <c r="A65" s="6"/>
      <c r="B65" s="6"/>
      <c r="C65" s="60"/>
      <c r="D65" s="6"/>
      <c r="E65" s="60"/>
      <c r="F65" s="8"/>
      <c r="G65" s="8"/>
      <c r="H65" s="8"/>
      <c r="I65" s="60"/>
      <c r="J65" s="60"/>
      <c r="K65" s="9"/>
      <c r="L65" s="9"/>
      <c r="M65" s="6"/>
      <c r="N65" s="6"/>
      <c r="O65" s="6"/>
    </row>
    <row r="66" spans="1:15" x14ac:dyDescent="0.25">
      <c r="A66" s="6"/>
      <c r="B66" s="6"/>
      <c r="C66" s="60"/>
      <c r="D66" s="6"/>
      <c r="E66" s="60"/>
      <c r="F66" s="8"/>
      <c r="G66" s="8"/>
      <c r="H66" s="8"/>
      <c r="I66" s="60"/>
      <c r="J66" s="60"/>
      <c r="K66" s="9"/>
      <c r="L66" s="9"/>
      <c r="M66" s="6"/>
      <c r="N66" s="6"/>
      <c r="O66" s="6"/>
    </row>
    <row r="67" spans="1:15" x14ac:dyDescent="0.25">
      <c r="A67" s="6"/>
      <c r="B67" s="6"/>
      <c r="C67" s="60"/>
      <c r="D67" s="6"/>
      <c r="E67" s="60"/>
      <c r="F67" s="8"/>
      <c r="G67" s="8"/>
      <c r="H67" s="8"/>
      <c r="I67" s="60"/>
      <c r="J67" s="60"/>
      <c r="K67" s="9"/>
      <c r="L67" s="9"/>
      <c r="M67" s="6"/>
      <c r="N67" s="6"/>
      <c r="O67" s="6"/>
    </row>
    <row r="68" spans="1:15" x14ac:dyDescent="0.25">
      <c r="A68" s="6"/>
      <c r="B68" s="6"/>
      <c r="C68" s="60"/>
      <c r="D68" s="6"/>
      <c r="E68" s="60"/>
      <c r="F68" s="8"/>
      <c r="G68" s="8"/>
      <c r="H68" s="8"/>
      <c r="I68" s="60"/>
      <c r="J68" s="60"/>
      <c r="K68" s="9"/>
      <c r="L68" s="9"/>
      <c r="M68" s="6"/>
      <c r="N68" s="6"/>
      <c r="O68" s="6"/>
    </row>
    <row r="69" spans="1:15" x14ac:dyDescent="0.25">
      <c r="A69" s="6"/>
      <c r="B69" s="6"/>
      <c r="C69" s="60"/>
      <c r="D69" s="6"/>
      <c r="E69" s="60"/>
      <c r="F69" s="8"/>
      <c r="G69" s="8"/>
      <c r="H69" s="8"/>
      <c r="I69" s="60"/>
      <c r="J69" s="60"/>
      <c r="K69" s="9"/>
      <c r="L69" s="9"/>
      <c r="M69" s="6"/>
      <c r="N69" s="6"/>
      <c r="O69" s="6"/>
    </row>
    <row r="70" spans="1:15" x14ac:dyDescent="0.25">
      <c r="A70" s="6"/>
      <c r="B70" s="6"/>
      <c r="C70" s="60"/>
      <c r="D70" s="6"/>
      <c r="E70" s="60"/>
      <c r="F70" s="8"/>
      <c r="G70" s="8"/>
      <c r="H70" s="8"/>
      <c r="I70" s="60"/>
      <c r="J70" s="60"/>
      <c r="K70" s="9"/>
      <c r="L70" s="9"/>
      <c r="M70" s="6"/>
      <c r="N70" s="6"/>
      <c r="O70" s="6"/>
    </row>
    <row r="71" spans="1:15" x14ac:dyDescent="0.25">
      <c r="A71" s="6"/>
      <c r="B71" s="6"/>
      <c r="C71" s="60"/>
      <c r="D71" s="6"/>
      <c r="E71" s="60"/>
      <c r="F71" s="8"/>
      <c r="G71" s="8"/>
      <c r="H71" s="8"/>
      <c r="I71" s="60"/>
      <c r="J71" s="60"/>
      <c r="K71" s="9"/>
      <c r="L71" s="9"/>
      <c r="M71" s="6"/>
      <c r="N71" s="6"/>
      <c r="O71" s="6"/>
    </row>
    <row r="72" spans="1:15" x14ac:dyDescent="0.25">
      <c r="A72" s="6"/>
      <c r="B72" s="6"/>
      <c r="C72" s="60"/>
      <c r="D72" s="6"/>
      <c r="E72" s="60"/>
      <c r="F72" s="8"/>
      <c r="G72" s="8"/>
      <c r="H72" s="8"/>
      <c r="I72" s="60"/>
      <c r="J72" s="60"/>
      <c r="K72" s="9"/>
      <c r="L72" s="9"/>
      <c r="M72" s="6"/>
      <c r="N72" s="6"/>
      <c r="O72" s="6"/>
    </row>
    <row r="73" spans="1:15" x14ac:dyDescent="0.25">
      <c r="A73" s="6"/>
      <c r="B73" s="6"/>
      <c r="C73" s="60"/>
      <c r="D73" s="6"/>
      <c r="E73" s="60"/>
      <c r="F73" s="8"/>
      <c r="G73" s="8"/>
      <c r="H73" s="8"/>
      <c r="I73" s="60"/>
      <c r="J73" s="60"/>
      <c r="K73" s="9"/>
      <c r="L73" s="9"/>
      <c r="M73" s="6"/>
      <c r="N73" s="6"/>
      <c r="O73" s="6"/>
    </row>
    <row r="74" spans="1:15" x14ac:dyDescent="0.25">
      <c r="A74" s="6"/>
      <c r="B74" s="6"/>
      <c r="C74" s="60"/>
      <c r="D74" s="6"/>
      <c r="E74" s="60"/>
      <c r="F74" s="8"/>
      <c r="G74" s="8"/>
      <c r="H74" s="8"/>
      <c r="I74" s="60"/>
      <c r="J74" s="60"/>
      <c r="K74" s="9"/>
      <c r="L74" s="9"/>
      <c r="M74" s="6"/>
      <c r="N74" s="6"/>
      <c r="O74" s="6"/>
    </row>
    <row r="75" spans="1:15" x14ac:dyDescent="0.25">
      <c r="A75" s="6"/>
      <c r="B75" s="6"/>
      <c r="C75" s="60"/>
      <c r="D75" s="6"/>
      <c r="E75" s="60"/>
      <c r="F75" s="8"/>
      <c r="G75" s="8"/>
      <c r="H75" s="8"/>
      <c r="I75" s="60"/>
      <c r="J75" s="60"/>
      <c r="K75" s="9"/>
      <c r="L75" s="9"/>
      <c r="M75" s="6"/>
      <c r="N75" s="6"/>
      <c r="O75" s="6"/>
    </row>
    <row r="76" spans="1:15" x14ac:dyDescent="0.25">
      <c r="A76" s="6"/>
      <c r="B76" s="6"/>
      <c r="C76" s="60"/>
      <c r="D76" s="6"/>
      <c r="E76" s="60"/>
      <c r="F76" s="8"/>
      <c r="G76" s="8"/>
      <c r="H76" s="8"/>
      <c r="I76" s="60"/>
      <c r="J76" s="60"/>
      <c r="K76" s="9"/>
      <c r="L76" s="9"/>
      <c r="M76" s="6"/>
      <c r="N76" s="6"/>
      <c r="O76" s="6"/>
    </row>
    <row r="77" spans="1:15" x14ac:dyDescent="0.25">
      <c r="A77" s="6"/>
      <c r="B77" s="6"/>
      <c r="C77" s="60"/>
      <c r="D77" s="6"/>
      <c r="E77" s="60"/>
      <c r="F77" s="8"/>
      <c r="G77" s="8"/>
      <c r="H77" s="8"/>
      <c r="I77" s="60"/>
      <c r="J77" s="60"/>
      <c r="K77" s="9"/>
      <c r="L77" s="9"/>
      <c r="M77" s="6"/>
      <c r="N77" s="6"/>
      <c r="O77" s="6"/>
    </row>
    <row r="78" spans="1:15" x14ac:dyDescent="0.25">
      <c r="A78" s="6"/>
      <c r="B78" s="6"/>
      <c r="C78" s="60"/>
      <c r="D78" s="6"/>
      <c r="E78" s="60"/>
      <c r="F78" s="8"/>
      <c r="G78" s="8"/>
      <c r="H78" s="8"/>
      <c r="I78" s="60"/>
      <c r="J78" s="60"/>
      <c r="K78" s="9"/>
      <c r="L78" s="9"/>
      <c r="M78" s="6"/>
      <c r="N78" s="6"/>
      <c r="O78" s="6"/>
    </row>
    <row r="79" spans="1:15" x14ac:dyDescent="0.25">
      <c r="A79" s="6"/>
      <c r="B79" s="6"/>
      <c r="C79" s="60"/>
      <c r="D79" s="6"/>
      <c r="E79" s="60"/>
      <c r="F79" s="8"/>
      <c r="G79" s="8"/>
      <c r="H79" s="8"/>
      <c r="I79" s="60"/>
      <c r="J79" s="60"/>
      <c r="K79" s="9"/>
      <c r="L79" s="9"/>
      <c r="M79" s="6"/>
      <c r="N79" s="6"/>
      <c r="O79" s="6"/>
    </row>
    <row r="80" spans="1:15" x14ac:dyDescent="0.25">
      <c r="A80" s="6"/>
      <c r="B80" s="6"/>
      <c r="C80" s="60"/>
      <c r="D80" s="6"/>
      <c r="E80" s="60"/>
      <c r="F80" s="8"/>
      <c r="G80" s="8"/>
      <c r="H80" s="8"/>
      <c r="I80" s="60"/>
      <c r="J80" s="60"/>
      <c r="K80" s="9"/>
      <c r="L80" s="9"/>
      <c r="M80" s="6"/>
      <c r="N80" s="6"/>
      <c r="O80" s="6"/>
    </row>
    <row r="81" spans="1:15" x14ac:dyDescent="0.25">
      <c r="A81" s="6"/>
      <c r="B81" s="6"/>
      <c r="C81" s="60"/>
      <c r="D81" s="6"/>
      <c r="E81" s="60"/>
      <c r="F81" s="8"/>
      <c r="G81" s="8"/>
      <c r="H81" s="8"/>
      <c r="I81" s="60"/>
      <c r="J81" s="60"/>
      <c r="K81" s="9"/>
      <c r="L81" s="9"/>
      <c r="M81" s="6"/>
      <c r="N81" s="6"/>
      <c r="O81" s="6"/>
    </row>
    <row r="82" spans="1:15" x14ac:dyDescent="0.25">
      <c r="A82" s="6"/>
      <c r="B82" s="6"/>
      <c r="C82" s="60"/>
      <c r="D82" s="6"/>
      <c r="E82" s="60"/>
      <c r="F82" s="8"/>
      <c r="G82" s="8"/>
      <c r="H82" s="8"/>
      <c r="I82" s="60"/>
      <c r="J82" s="60"/>
      <c r="K82" s="9"/>
      <c r="L82" s="9"/>
      <c r="M82" s="6"/>
      <c r="N82" s="6"/>
      <c r="O82" s="6"/>
    </row>
    <row r="83" spans="1:15" x14ac:dyDescent="0.25">
      <c r="A83" s="6"/>
      <c r="B83" s="6"/>
      <c r="C83" s="60"/>
      <c r="D83" s="6"/>
      <c r="E83" s="60"/>
      <c r="F83" s="8"/>
      <c r="G83" s="8"/>
      <c r="H83" s="8"/>
      <c r="I83" s="60"/>
      <c r="J83" s="60"/>
      <c r="K83" s="9"/>
      <c r="L83" s="9"/>
      <c r="M83" s="6"/>
      <c r="N83" s="6"/>
      <c r="O83" s="6"/>
    </row>
    <row r="84" spans="1:15" x14ac:dyDescent="0.25">
      <c r="A84" s="6"/>
      <c r="B84" s="6"/>
      <c r="C84" s="60"/>
      <c r="D84" s="6"/>
      <c r="E84" s="60"/>
      <c r="F84" s="8"/>
      <c r="G84" s="8"/>
      <c r="H84" s="8"/>
      <c r="I84" s="60"/>
      <c r="J84" s="60"/>
      <c r="K84" s="9"/>
      <c r="L84" s="9"/>
      <c r="M84" s="6"/>
      <c r="N84" s="6"/>
      <c r="O84" s="6"/>
    </row>
    <row r="85" spans="1:15" x14ac:dyDescent="0.25">
      <c r="A85" s="6"/>
      <c r="B85" s="6"/>
      <c r="C85" s="60"/>
      <c r="D85" s="6"/>
      <c r="E85" s="60"/>
      <c r="F85" s="8"/>
      <c r="G85" s="8"/>
      <c r="H85" s="8"/>
      <c r="I85" s="60"/>
      <c r="J85" s="60"/>
      <c r="K85" s="9"/>
      <c r="L85" s="9"/>
      <c r="M85" s="6"/>
      <c r="N85" s="6"/>
      <c r="O85" s="6"/>
    </row>
    <row r="86" spans="1:15" x14ac:dyDescent="0.25">
      <c r="A86" s="6"/>
      <c r="B86" s="6"/>
      <c r="C86" s="60"/>
      <c r="D86" s="6"/>
      <c r="E86" s="60"/>
      <c r="F86" s="8"/>
      <c r="G86" s="8"/>
      <c r="H86" s="8"/>
      <c r="I86" s="60"/>
      <c r="J86" s="60"/>
      <c r="K86" s="9"/>
      <c r="L86" s="9"/>
      <c r="M86" s="6"/>
      <c r="N86" s="6"/>
      <c r="O86" s="6"/>
    </row>
    <row r="87" spans="1:15" x14ac:dyDescent="0.25">
      <c r="A87" s="6"/>
      <c r="B87" s="6"/>
      <c r="C87" s="60"/>
      <c r="D87" s="6"/>
      <c r="E87" s="60"/>
      <c r="F87" s="8"/>
      <c r="G87" s="8"/>
      <c r="H87" s="8"/>
      <c r="I87" s="60"/>
      <c r="J87" s="60"/>
      <c r="K87" s="9"/>
      <c r="L87" s="9"/>
      <c r="M87" s="6"/>
      <c r="N87" s="6"/>
      <c r="O87" s="6"/>
    </row>
    <row r="88" spans="1:15" x14ac:dyDescent="0.25">
      <c r="A88" s="6"/>
      <c r="B88" s="6"/>
      <c r="C88" s="60"/>
      <c r="D88" s="6"/>
      <c r="E88" s="60"/>
      <c r="F88" s="8"/>
      <c r="G88" s="8"/>
      <c r="H88" s="8"/>
      <c r="I88" s="60"/>
      <c r="J88" s="60"/>
      <c r="K88" s="9"/>
      <c r="L88" s="9"/>
      <c r="M88" s="6"/>
      <c r="N88" s="6"/>
      <c r="O88" s="6"/>
    </row>
    <row r="89" spans="1:15" x14ac:dyDescent="0.25">
      <c r="A89" s="6"/>
      <c r="B89" s="6"/>
      <c r="C89" s="60"/>
      <c r="D89" s="6"/>
      <c r="E89" s="60"/>
      <c r="F89" s="8"/>
      <c r="G89" s="8"/>
      <c r="H89" s="8"/>
      <c r="I89" s="60"/>
      <c r="J89" s="60"/>
      <c r="K89" s="9"/>
      <c r="L89" s="9"/>
      <c r="M89" s="6"/>
      <c r="N89" s="6"/>
      <c r="O89" s="6"/>
    </row>
    <row r="90" spans="1:15" x14ac:dyDescent="0.25">
      <c r="A90" s="6"/>
      <c r="B90" s="6"/>
      <c r="C90" s="60"/>
      <c r="D90" s="6"/>
      <c r="E90" s="60"/>
      <c r="F90" s="8"/>
      <c r="G90" s="8"/>
      <c r="H90" s="8"/>
      <c r="I90" s="60"/>
      <c r="J90" s="60"/>
      <c r="K90" s="9"/>
      <c r="L90" s="9"/>
      <c r="M90" s="6"/>
      <c r="N90" s="6"/>
      <c r="O90" s="6"/>
    </row>
    <row r="91" spans="1:15" x14ac:dyDescent="0.25">
      <c r="A91" s="6"/>
      <c r="B91" s="6"/>
      <c r="C91" s="60"/>
      <c r="D91" s="6"/>
      <c r="E91" s="60"/>
      <c r="F91" s="8"/>
      <c r="G91" s="8"/>
      <c r="H91" s="8"/>
      <c r="I91" s="60"/>
      <c r="J91" s="60"/>
      <c r="K91" s="9"/>
      <c r="L91" s="9"/>
      <c r="M91" s="6"/>
      <c r="N91" s="6"/>
      <c r="O91" s="6"/>
    </row>
    <row r="92" spans="1:15" x14ac:dyDescent="0.25">
      <c r="A92" s="6"/>
      <c r="B92" s="6"/>
      <c r="C92" s="60"/>
      <c r="D92" s="6"/>
      <c r="E92" s="60"/>
      <c r="F92" s="8"/>
      <c r="G92" s="8"/>
      <c r="H92" s="8"/>
      <c r="I92" s="60"/>
      <c r="J92" s="60"/>
      <c r="K92" s="9"/>
      <c r="L92" s="9"/>
      <c r="M92" s="6"/>
      <c r="N92" s="6"/>
      <c r="O92" s="6"/>
    </row>
    <row r="93" spans="1:15" x14ac:dyDescent="0.25">
      <c r="A93" s="6"/>
      <c r="B93" s="6"/>
      <c r="C93" s="60"/>
      <c r="D93" s="6"/>
      <c r="E93" s="60"/>
      <c r="F93" s="8"/>
      <c r="G93" s="8"/>
      <c r="H93" s="8"/>
      <c r="I93" s="60"/>
      <c r="J93" s="60"/>
      <c r="K93" s="9"/>
      <c r="L93" s="6"/>
      <c r="M93" s="6"/>
      <c r="N93" s="6"/>
      <c r="O93" s="6"/>
    </row>
    <row r="94" spans="1:15" x14ac:dyDescent="0.25">
      <c r="C94" s="60"/>
      <c r="D94" s="6"/>
      <c r="E94" s="60"/>
      <c r="F94" s="8"/>
      <c r="G94" s="8"/>
      <c r="H94" s="8"/>
      <c r="I94" s="60"/>
      <c r="J94" s="60"/>
      <c r="K94" s="9"/>
      <c r="L94" s="6"/>
      <c r="M94" s="6"/>
      <c r="N94" s="6"/>
      <c r="O94" s="6"/>
    </row>
    <row r="95" spans="1:15" x14ac:dyDescent="0.25">
      <c r="C95" s="60"/>
      <c r="D95" s="6"/>
      <c r="E95" s="60"/>
      <c r="F95" s="8"/>
      <c r="G95" s="8"/>
      <c r="H95" s="8"/>
      <c r="I95" s="60"/>
      <c r="J95" s="60"/>
      <c r="K95" s="9"/>
      <c r="L95" s="6"/>
      <c r="M95" s="6"/>
      <c r="N95" s="6"/>
      <c r="O95" s="6"/>
    </row>
    <row r="96" spans="1:15" x14ac:dyDescent="0.25">
      <c r="C96" s="60"/>
      <c r="D96" s="6"/>
      <c r="E96" s="60"/>
      <c r="F96" s="8"/>
      <c r="G96" s="8"/>
      <c r="H96" s="8"/>
      <c r="I96" s="60"/>
      <c r="J96" s="60"/>
      <c r="K96" s="9"/>
      <c r="L96" s="6"/>
      <c r="M96" s="6"/>
      <c r="N96" s="6"/>
      <c r="O96" s="6"/>
    </row>
    <row r="97" spans="1:15" x14ac:dyDescent="0.25">
      <c r="C97" s="60"/>
      <c r="D97" s="6"/>
      <c r="E97" s="60"/>
      <c r="F97" s="8"/>
      <c r="G97" s="8"/>
      <c r="H97" s="8"/>
      <c r="I97" s="60"/>
      <c r="J97" s="60"/>
      <c r="K97" s="9"/>
      <c r="L97" s="6"/>
      <c r="M97" s="6"/>
      <c r="N97" s="6"/>
      <c r="O97" s="6"/>
    </row>
    <row r="98" spans="1:15" x14ac:dyDescent="0.25">
      <c r="C98" s="60"/>
      <c r="D98" s="6"/>
      <c r="E98" s="60"/>
      <c r="F98" s="8"/>
      <c r="G98" s="8"/>
      <c r="H98" s="8"/>
      <c r="I98" s="60"/>
      <c r="J98" s="60"/>
      <c r="K98" s="9"/>
      <c r="L98" s="6"/>
      <c r="M98" s="6"/>
      <c r="N98" s="6"/>
      <c r="O98" s="6"/>
    </row>
    <row r="99" spans="1:15" x14ac:dyDescent="0.25">
      <c r="C99" s="60"/>
      <c r="D99" s="6"/>
      <c r="E99" s="60"/>
      <c r="F99" s="8"/>
      <c r="G99" s="8"/>
      <c r="H99" s="8"/>
      <c r="I99" s="60"/>
      <c r="J99" s="60"/>
      <c r="K99" s="9"/>
      <c r="L99" s="6"/>
      <c r="M99" s="6"/>
      <c r="N99" s="6"/>
      <c r="O99" s="6"/>
    </row>
    <row r="100" spans="1:15" x14ac:dyDescent="0.25">
      <c r="C100" s="60"/>
      <c r="D100" s="6"/>
      <c r="E100" s="60"/>
      <c r="F100" s="8"/>
      <c r="G100" s="8"/>
      <c r="H100" s="8"/>
      <c r="I100" s="60"/>
      <c r="J100" s="60"/>
      <c r="K100" s="9"/>
      <c r="L100" s="6"/>
      <c r="M100" s="6"/>
      <c r="N100" s="6"/>
      <c r="O100" s="6"/>
    </row>
    <row r="101" spans="1:15" x14ac:dyDescent="0.25">
      <c r="C101" s="60"/>
      <c r="D101" s="6"/>
      <c r="E101" s="60"/>
      <c r="F101" s="8"/>
      <c r="G101" s="8"/>
      <c r="H101" s="8"/>
      <c r="I101" s="60"/>
      <c r="J101" s="60"/>
      <c r="K101" s="9"/>
      <c r="L101" s="6"/>
      <c r="M101" s="6"/>
      <c r="N101" s="6"/>
      <c r="O101" s="6"/>
    </row>
    <row r="102" spans="1:15" x14ac:dyDescent="0.25">
      <c r="C102" s="60"/>
      <c r="D102" s="6"/>
      <c r="E102" s="60"/>
      <c r="F102" s="8"/>
      <c r="G102" s="8"/>
      <c r="H102" s="8"/>
      <c r="I102" s="60"/>
      <c r="J102" s="60"/>
      <c r="K102" s="9"/>
      <c r="L102" s="6"/>
      <c r="M102" s="6"/>
      <c r="N102" s="6"/>
      <c r="O102" s="6"/>
    </row>
    <row r="103" spans="1:15" x14ac:dyDescent="0.25">
      <c r="C103" s="60"/>
      <c r="D103" s="6"/>
      <c r="E103" s="60"/>
      <c r="F103" s="8"/>
      <c r="G103" s="8"/>
      <c r="H103" s="8"/>
      <c r="I103" s="60"/>
      <c r="J103" s="60"/>
      <c r="K103" s="9"/>
      <c r="L103" s="6"/>
      <c r="M103" s="6"/>
      <c r="N103" s="6"/>
      <c r="O103" s="6"/>
    </row>
    <row r="104" spans="1:15" x14ac:dyDescent="0.25">
      <c r="A104" s="6"/>
      <c r="B104" s="6"/>
      <c r="C104" s="60"/>
      <c r="D104" s="6"/>
      <c r="E104" s="60"/>
      <c r="F104" s="8"/>
      <c r="G104" s="8"/>
      <c r="H104" s="8"/>
      <c r="I104" s="60"/>
      <c r="J104" s="60"/>
      <c r="K104" s="9"/>
      <c r="L104" s="6"/>
      <c r="M104" s="6"/>
      <c r="N104" s="6"/>
      <c r="O104" s="6"/>
    </row>
    <row r="105" spans="1:15" x14ac:dyDescent="0.25">
      <c r="A105" s="6"/>
      <c r="B105" s="6"/>
      <c r="C105" s="60"/>
      <c r="D105" s="6"/>
      <c r="E105" s="60"/>
      <c r="F105" s="8"/>
      <c r="G105" s="8"/>
      <c r="H105" s="8"/>
      <c r="I105" s="60"/>
      <c r="J105" s="60"/>
      <c r="K105" s="9"/>
      <c r="L105" s="6"/>
      <c r="M105" s="6"/>
      <c r="N105" s="6"/>
      <c r="O105" s="6"/>
    </row>
    <row r="106" spans="1:15" x14ac:dyDescent="0.25">
      <c r="A106" s="6"/>
      <c r="B106" s="6"/>
      <c r="C106" s="60"/>
      <c r="D106" s="6"/>
      <c r="E106" s="60"/>
      <c r="F106" s="8"/>
      <c r="G106" s="8"/>
      <c r="H106" s="8"/>
      <c r="I106" s="60"/>
      <c r="J106" s="60"/>
      <c r="K106" s="9"/>
      <c r="L106" s="6"/>
      <c r="M106" s="6"/>
      <c r="N106" s="6"/>
      <c r="O106" s="6"/>
    </row>
    <row r="107" spans="1:15" x14ac:dyDescent="0.25">
      <c r="A107" s="6"/>
      <c r="B107" s="6"/>
      <c r="C107" s="60"/>
      <c r="D107" s="6"/>
      <c r="E107" s="60"/>
      <c r="F107" s="8"/>
      <c r="G107" s="8"/>
      <c r="H107" s="8"/>
      <c r="I107" s="60"/>
      <c r="J107" s="60"/>
      <c r="K107" s="9"/>
      <c r="L107" s="6"/>
      <c r="M107" s="6"/>
      <c r="N107" s="6"/>
      <c r="O107" s="6"/>
    </row>
    <row r="108" spans="1:15" x14ac:dyDescent="0.25">
      <c r="A108" s="6"/>
      <c r="B108" s="6"/>
      <c r="C108" s="60"/>
      <c r="D108" s="6"/>
      <c r="E108" s="60"/>
      <c r="F108" s="8"/>
      <c r="G108" s="8"/>
      <c r="H108" s="8"/>
      <c r="I108" s="60"/>
      <c r="J108" s="60"/>
      <c r="K108" s="9"/>
      <c r="L108" s="6"/>
      <c r="M108" s="6"/>
      <c r="N108" s="6"/>
      <c r="O108" s="6"/>
    </row>
    <row r="109" spans="1:15" x14ac:dyDescent="0.25">
      <c r="A109" s="6"/>
      <c r="B109" s="6"/>
      <c r="C109" s="60"/>
      <c r="D109" s="6"/>
      <c r="E109" s="60"/>
      <c r="F109" s="8"/>
      <c r="G109" s="8"/>
      <c r="H109" s="8"/>
      <c r="I109" s="60"/>
      <c r="J109" s="60"/>
      <c r="K109" s="9"/>
      <c r="L109" s="6"/>
      <c r="M109" s="6"/>
      <c r="N109" s="6"/>
      <c r="O109" s="6"/>
    </row>
    <row r="110" spans="1:15" x14ac:dyDescent="0.25">
      <c r="A110" s="6"/>
      <c r="B110" s="6"/>
      <c r="C110" s="60"/>
      <c r="D110" s="6"/>
      <c r="E110" s="60"/>
      <c r="F110" s="8"/>
      <c r="G110" s="8"/>
      <c r="H110" s="8"/>
      <c r="I110" s="60"/>
      <c r="J110" s="60"/>
      <c r="K110" s="9"/>
      <c r="L110" s="6"/>
      <c r="M110" s="6"/>
      <c r="N110" s="6"/>
      <c r="O110" s="6"/>
    </row>
    <row r="111" spans="1:15" x14ac:dyDescent="0.25">
      <c r="A111" s="6"/>
      <c r="B111" s="6"/>
      <c r="C111" s="60"/>
      <c r="D111" s="6"/>
      <c r="E111" s="60"/>
      <c r="F111" s="8"/>
      <c r="G111" s="8"/>
      <c r="H111" s="8"/>
      <c r="I111" s="60"/>
      <c r="J111" s="60"/>
      <c r="K111" s="9"/>
      <c r="L111" s="6"/>
      <c r="M111" s="6"/>
      <c r="N111" s="6"/>
      <c r="O111" s="6"/>
    </row>
    <row r="112" spans="1:15" x14ac:dyDescent="0.25">
      <c r="A112" s="6"/>
      <c r="B112" s="6"/>
      <c r="C112" s="60"/>
      <c r="D112" s="6"/>
      <c r="E112" s="60"/>
      <c r="F112" s="8"/>
      <c r="G112" s="8"/>
      <c r="H112" s="8"/>
      <c r="I112" s="60"/>
      <c r="J112" s="60"/>
      <c r="K112" s="9"/>
      <c r="L112" s="6"/>
      <c r="M112" s="6"/>
      <c r="N112" s="6"/>
      <c r="O112" s="6"/>
    </row>
    <row r="113" spans="1:15" x14ac:dyDescent="0.25">
      <c r="A113" s="6"/>
      <c r="B113" s="6"/>
      <c r="C113" s="60"/>
      <c r="D113" s="6"/>
      <c r="E113" s="60"/>
      <c r="F113" s="8"/>
      <c r="G113" s="8"/>
      <c r="H113" s="8"/>
      <c r="I113" s="60"/>
      <c r="J113" s="60"/>
      <c r="K113" s="9"/>
      <c r="L113" s="6"/>
      <c r="M113" s="6"/>
      <c r="N113" s="6"/>
      <c r="O113" s="6"/>
    </row>
    <row r="114" spans="1:15" x14ac:dyDescent="0.25">
      <c r="A114" s="6"/>
      <c r="B114" s="6"/>
      <c r="C114" s="60"/>
      <c r="D114" s="6"/>
      <c r="E114" s="60"/>
      <c r="F114" s="8"/>
      <c r="G114" s="8"/>
      <c r="H114" s="8"/>
      <c r="I114" s="60"/>
      <c r="J114" s="60"/>
      <c r="K114" s="9"/>
      <c r="L114" s="6"/>
      <c r="M114" s="6"/>
      <c r="N114" s="6"/>
      <c r="O114" s="6"/>
    </row>
    <row r="115" spans="1:15" x14ac:dyDescent="0.25">
      <c r="A115" s="6"/>
      <c r="B115" s="6"/>
      <c r="C115" s="60"/>
      <c r="D115" s="6"/>
      <c r="E115" s="60"/>
      <c r="F115" s="8"/>
      <c r="G115" s="8"/>
      <c r="H115" s="8"/>
      <c r="I115" s="60"/>
      <c r="J115" s="60"/>
      <c r="K115" s="9"/>
      <c r="L115" s="6"/>
      <c r="M115" s="6"/>
      <c r="N115" s="6"/>
      <c r="O115" s="6"/>
    </row>
    <row r="116" spans="1:15" x14ac:dyDescent="0.25">
      <c r="A116" s="6"/>
      <c r="B116" s="6"/>
      <c r="C116" s="60"/>
      <c r="D116" s="6"/>
      <c r="E116" s="60"/>
      <c r="F116" s="8"/>
      <c r="G116" s="8"/>
      <c r="H116" s="8"/>
      <c r="I116" s="60"/>
      <c r="J116" s="60"/>
      <c r="K116" s="9"/>
      <c r="L116" s="6"/>
      <c r="M116" s="6"/>
      <c r="N116" s="6"/>
      <c r="O116" s="6"/>
    </row>
    <row r="117" spans="1:15" x14ac:dyDescent="0.25">
      <c r="A117" s="6"/>
      <c r="B117" s="6"/>
      <c r="C117" s="60"/>
      <c r="D117" s="6"/>
      <c r="E117" s="60"/>
      <c r="F117" s="8"/>
      <c r="G117" s="8"/>
      <c r="H117" s="8"/>
      <c r="I117" s="60"/>
      <c r="J117" s="60"/>
      <c r="K117" s="9"/>
      <c r="L117" s="6"/>
      <c r="M117" s="6"/>
      <c r="N117" s="6"/>
      <c r="O117" s="6"/>
    </row>
    <row r="118" spans="1:15" x14ac:dyDescent="0.25">
      <c r="A118" s="6"/>
      <c r="B118" s="6"/>
      <c r="C118" s="60"/>
      <c r="D118" s="6"/>
      <c r="E118" s="60"/>
      <c r="F118" s="8"/>
      <c r="G118" s="8"/>
      <c r="H118" s="8"/>
      <c r="I118" s="60"/>
      <c r="J118" s="60"/>
      <c r="K118" s="9"/>
      <c r="L118" s="6"/>
      <c r="M118" s="6"/>
      <c r="N118" s="6"/>
      <c r="O118" s="6"/>
    </row>
    <row r="119" spans="1:15" x14ac:dyDescent="0.25">
      <c r="A119" s="6"/>
      <c r="B119" s="6"/>
      <c r="C119" s="60"/>
      <c r="D119" s="6"/>
      <c r="E119" s="60"/>
      <c r="F119" s="8"/>
      <c r="G119" s="8"/>
      <c r="H119" s="8"/>
      <c r="I119" s="60"/>
      <c r="J119" s="60"/>
      <c r="K119" s="9"/>
      <c r="L119" s="6"/>
      <c r="M119" s="6"/>
      <c r="N119" s="6"/>
      <c r="O119" s="6"/>
    </row>
    <row r="120" spans="1:15" x14ac:dyDescent="0.25">
      <c r="A120" s="6"/>
      <c r="B120" s="6"/>
      <c r="C120" s="60"/>
      <c r="D120" s="6"/>
      <c r="E120" s="60"/>
      <c r="F120" s="8"/>
      <c r="G120" s="8"/>
      <c r="H120" s="8"/>
      <c r="I120" s="60"/>
      <c r="J120" s="60"/>
      <c r="K120" s="9"/>
      <c r="L120" s="6"/>
      <c r="M120" s="6"/>
      <c r="N120" s="6"/>
      <c r="O120" s="6"/>
    </row>
  </sheetData>
  <mergeCells count="1">
    <mergeCell ref="A1:J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17</vt:i4>
      </vt:variant>
    </vt:vector>
  </HeadingPairs>
  <TitlesOfParts>
    <vt:vector size="17" baseType="lpstr">
      <vt:lpstr>Overview</vt:lpstr>
      <vt:lpstr>MSG DUMMY</vt:lpstr>
      <vt:lpstr>Timeline</vt:lpstr>
      <vt:lpstr>Legenda</vt:lpstr>
      <vt:lpstr>VAL1</vt:lpstr>
      <vt:lpstr>VAL2</vt:lpstr>
      <vt:lpstr>VAL3</vt:lpstr>
      <vt:lpstr>VAL4</vt:lpstr>
      <vt:lpstr>VAL5</vt:lpstr>
      <vt:lpstr>VAL6</vt:lpstr>
      <vt:lpstr>VAL7</vt:lpstr>
      <vt:lpstr>VAL8</vt:lpstr>
      <vt:lpstr>VAl9</vt:lpstr>
      <vt:lpstr>VAL10</vt:lpstr>
      <vt:lpstr>VAL11</vt:lpstr>
      <vt:lpstr>VAL12</vt:lpstr>
      <vt:lpstr>VAL4_OLD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</dc:creator>
  <cp:lastModifiedBy>Ricardo</cp:lastModifiedBy>
  <cp:lastPrinted>2018-12-13T09:22:14Z</cp:lastPrinted>
  <dcterms:created xsi:type="dcterms:W3CDTF">2018-07-03T14:03:53Z</dcterms:created>
  <dcterms:modified xsi:type="dcterms:W3CDTF">2019-04-24T21:32:00Z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bc0f418-96a4-4caf-9d7c-ccc5ec7f9d91_Enabled">
    <vt:lpwstr>True</vt:lpwstr>
  </property>
  <property fmtid="{D5CDD505-2E9C-101B-9397-08002B2CF9AE}" pid="3" name="MSIP_Label_1bc0f418-96a4-4caf-9d7c-ccc5ec7f9d91_SiteId">
    <vt:lpwstr>e0793d39-0939-496d-b129-198edd916feb</vt:lpwstr>
  </property>
  <property fmtid="{D5CDD505-2E9C-101B-9397-08002B2CF9AE}" pid="4" name="MSIP_Label_1bc0f418-96a4-4caf-9d7c-ccc5ec7f9d91_Owner">
    <vt:lpwstr>ricardo.russo@accenture.com</vt:lpwstr>
  </property>
  <property fmtid="{D5CDD505-2E9C-101B-9397-08002B2CF9AE}" pid="5" name="MSIP_Label_1bc0f418-96a4-4caf-9d7c-ccc5ec7f9d91_SetDate">
    <vt:lpwstr>2019-01-29T13:35:01.7566246Z</vt:lpwstr>
  </property>
  <property fmtid="{D5CDD505-2E9C-101B-9397-08002B2CF9AE}" pid="6" name="MSIP_Label_1bc0f418-96a4-4caf-9d7c-ccc5ec7f9d91_Name">
    <vt:lpwstr>Unrestricted</vt:lpwstr>
  </property>
  <property fmtid="{D5CDD505-2E9C-101B-9397-08002B2CF9AE}" pid="7" name="MSIP_Label_1bc0f418-96a4-4caf-9d7c-ccc5ec7f9d91_Application">
    <vt:lpwstr>Microsoft Azure Information Protection</vt:lpwstr>
  </property>
  <property fmtid="{D5CDD505-2E9C-101B-9397-08002B2CF9AE}" pid="8" name="MSIP_Label_1bc0f418-96a4-4caf-9d7c-ccc5ec7f9d91_Extended_MSFT_Method">
    <vt:lpwstr>Manual</vt:lpwstr>
  </property>
  <property fmtid="{D5CDD505-2E9C-101B-9397-08002B2CF9AE}" pid="9" name="Sensitivity">
    <vt:lpwstr>Unrestricted</vt:lpwstr>
  </property>
</Properties>
</file>